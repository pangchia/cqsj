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FDC13222-9284-4063-BABF-6801EAAEDF1A}" xr6:coauthVersionLast="47" xr6:coauthVersionMax="47" xr10:uidLastSave="{00000000-0000-0000-0000-000000000000}"/>
  <bookViews>
    <workbookView xWindow="4185" yWindow="795" windowWidth="44625" windowHeight="199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<sst xmlns="http://schemas.openxmlformats.org/spreadsheetml/2006/main" count="55" uniqueCount="53">
  <si>
    <t>人员</t>
  </si>
  <si>
    <t>0806-1600 魔 7</t>
  </si>
  <si>
    <t>0806 - 1800 - 魔6 ,4,3</t>
  </si>
  <si>
    <t>0806 - 2200 - 魔7,8</t>
  </si>
  <si>
    <t>累计应发放</t>
  </si>
  <si>
    <t>领取</t>
  </si>
  <si>
    <t>一个女法师</t>
  </si>
  <si>
    <t>朱沅</t>
  </si>
  <si>
    <t>悠闲的风声</t>
  </si>
  <si>
    <t>抚琴</t>
  </si>
  <si>
    <t>与市无争</t>
  </si>
  <si>
    <t>申秒彤</t>
  </si>
  <si>
    <t>皇族酷</t>
  </si>
  <si>
    <t>无悔</t>
  </si>
  <si>
    <t>虹之间</t>
  </si>
  <si>
    <t>法紫山</t>
  </si>
  <si>
    <t>趴下给我唱征服</t>
  </si>
  <si>
    <t>跪下给我唱征服</t>
  </si>
  <si>
    <t>你好朋友</t>
  </si>
  <si>
    <t>天地君</t>
  </si>
  <si>
    <t>kk123</t>
  </si>
  <si>
    <t>空白系</t>
  </si>
  <si>
    <t>大虾</t>
  </si>
  <si>
    <t>法之魅</t>
  </si>
  <si>
    <t>奇三叔</t>
  </si>
  <si>
    <t>溅朕骑姬</t>
  </si>
  <si>
    <t>传说小胖</t>
  </si>
  <si>
    <t>桃白白</t>
  </si>
  <si>
    <t>幸福道人</t>
  </si>
  <si>
    <t>紫轩唐悦</t>
  </si>
  <si>
    <t>静枫怜梦</t>
  </si>
  <si>
    <r>
      <rPr>
        <sz val="11"/>
        <color rgb="FF000000"/>
        <rFont val="等线"/>
        <family val="2"/>
      </rPr>
      <t>合计</t>
    </r>
    <phoneticPr fontId="1" type="noConversion"/>
  </si>
  <si>
    <t xml:space="preserve">( 3160余18 )  </t>
    <phoneticPr fontId="1" type="noConversion"/>
  </si>
  <si>
    <t>0806 集体产出</t>
  </si>
  <si>
    <t>     时间与地图     </t>
  </si>
  <si>
    <t>产出</t>
  </si>
  <si>
    <t>     总收入    </t>
  </si>
  <si>
    <t>总人数</t>
  </si>
  <si>
    <t>     每人     </t>
  </si>
  <si>
    <t>0806 - 1600 - 魔7</t>
  </si>
  <si>
    <t>28、一个女法师、朱沅、悠闲的风声、抚琴、与市无争、申秒彤、皇族酷、无悔、虹之间、法紫山、趴下给我唱征服、跪下给我唱征服、你好朋友、天地君、kk123</t>
  </si>
  <si>
    <t>方天150+幽灵战甲150+ (次逆魔*3=90) + 祝福油（350）+260（强化雷霆剑）+70（雷罚）+（力量75+绿色项链75 ）</t>
  </si>
  <si>
    <t>76 (余4)</t>
  </si>
  <si>
    <t>0806 - 1800 - 魔6</t>
  </si>
  <si>
    <t>法紫山、空白系、皇族酷、大虾、与市无争、28、无悔、抚琴、天地君、虹之间、申妙彤</t>
  </si>
  <si>
    <t>逆魔75+次逆魔30+灼烧30 +(法神手镯 28捡 460）</t>
  </si>
  <si>
    <t>135 + 460 = 595</t>
  </si>
  <si>
    <t>54 (余1)</t>
  </si>
  <si>
    <t>0806 - 2100 - 魔6</t>
  </si>
  <si>
    <t>顺延到 大刷</t>
  </si>
  <si>
    <t>皇族酷、无悔、法之魅、奇三叔、一个女法师、与市无争、溅朕骑姬、传说小胖、 天地君、法紫山、28、大虾、虹之间、桃白白、幸福道人、紫轩唐悦、静枫怜梦、抚琴</t>
  </si>
  <si>
    <t>435通宝 + (法神戒指 400) + (圣战项链150) + 法神项链120 ) + (上波顺延的240)= 1345</t>
  </si>
  <si>
    <t>74 (余13)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</si>
</sst>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等线"/>
      <family val="2"/>
    </font>
    <font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30" zoomScaleNormal="130" workbookViewId="0">
      <selection activeCell="J21" sqref="J21"/>
    </sheetView>
  </sheetViews>
  <sheetFormatPr defaultRowHeight="14.25" x14ac:dyDescent="0.2"/>
  <cols>
    <col min="5" max="5" width="13.375" customWidth="1"/>
  </cols>
  <sheetData>
    <row r="1" spans="1:6" ht="50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thickBot="1" x14ac:dyDescent="0.25">
      <c r="A2" s="2">
        <v>28</v>
      </c>
      <c r="B2" s="2">
        <v>76</v>
      </c>
      <c r="C2" s="2">
        <v>54</v>
      </c>
      <c r="D2" s="2">
        <v>74</v>
      </c>
      <c r="E2" s="2">
        <v>204</v>
      </c>
      <c r="F2" s="2"/>
    </row>
    <row r="3" spans="1:6" ht="33.75" thickBot="1" x14ac:dyDescent="0.25">
      <c r="A3" s="3" t="s">
        <v>6</v>
      </c>
      <c r="B3" s="3">
        <v>76</v>
      </c>
      <c r="C3" s="3"/>
      <c r="D3" s="3">
        <v>74</v>
      </c>
      <c r="E3" s="3">
        <v>150</v>
      </c>
      <c r="F3" s="3"/>
    </row>
    <row r="4" spans="1:6" ht="17.25" thickBot="1" x14ac:dyDescent="0.25">
      <c r="A4" s="2" t="s">
        <v>7</v>
      </c>
      <c r="B4" s="2">
        <v>76</v>
      </c>
      <c r="C4" s="2"/>
      <c r="D4" s="2"/>
      <c r="E4" s="2">
        <v>76</v>
      </c>
      <c r="F4" s="2"/>
    </row>
    <row r="5" spans="1:6" ht="33.75" thickBot="1" x14ac:dyDescent="0.25">
      <c r="A5" s="3" t="s">
        <v>8</v>
      </c>
      <c r="B5" s="3">
        <v>76</v>
      </c>
      <c r="C5" s="3"/>
      <c r="D5" s="3"/>
      <c r="E5" s="3">
        <v>76</v>
      </c>
      <c r="F5" s="3"/>
    </row>
    <row r="6" spans="1:6" ht="17.25" thickBot="1" x14ac:dyDescent="0.25">
      <c r="A6" s="2" t="s">
        <v>9</v>
      </c>
      <c r="B6" s="2">
        <v>76</v>
      </c>
      <c r="C6" s="2">
        <v>54</v>
      </c>
      <c r="D6" s="2">
        <v>74</v>
      </c>
      <c r="E6" s="2">
        <v>204</v>
      </c>
      <c r="F6" s="2"/>
    </row>
    <row r="7" spans="1:6" ht="17.25" thickBot="1" x14ac:dyDescent="0.25">
      <c r="A7" s="3" t="s">
        <v>10</v>
      </c>
      <c r="B7" s="3">
        <v>76</v>
      </c>
      <c r="C7" s="3">
        <v>54</v>
      </c>
      <c r="D7" s="3">
        <v>74</v>
      </c>
      <c r="E7" s="3">
        <v>204</v>
      </c>
      <c r="F7" s="3"/>
    </row>
    <row r="8" spans="1:6" ht="17.25" thickBot="1" x14ac:dyDescent="0.25">
      <c r="A8" s="2" t="s">
        <v>11</v>
      </c>
      <c r="B8" s="2">
        <v>76</v>
      </c>
      <c r="C8" s="2">
        <v>54</v>
      </c>
      <c r="D8" s="2"/>
      <c r="E8" s="2">
        <v>130</v>
      </c>
      <c r="F8" s="2"/>
    </row>
    <row r="9" spans="1:6" ht="17.25" thickBot="1" x14ac:dyDescent="0.25">
      <c r="A9" s="3" t="s">
        <v>12</v>
      </c>
      <c r="B9" s="3">
        <v>76</v>
      </c>
      <c r="C9" s="3">
        <v>54</v>
      </c>
      <c r="D9" s="3">
        <v>74</v>
      </c>
      <c r="E9" s="3">
        <v>204</v>
      </c>
      <c r="F9" s="3"/>
    </row>
    <row r="10" spans="1:6" ht="17.25" thickBot="1" x14ac:dyDescent="0.25">
      <c r="A10" s="2" t="s">
        <v>13</v>
      </c>
      <c r="B10" s="2">
        <v>76</v>
      </c>
      <c r="C10" s="2">
        <v>54</v>
      </c>
      <c r="D10" s="2">
        <v>74</v>
      </c>
      <c r="E10" s="2">
        <v>204</v>
      </c>
      <c r="F10" s="2"/>
    </row>
    <row r="11" spans="1:6" ht="17.25" thickBot="1" x14ac:dyDescent="0.25">
      <c r="A11" s="3" t="s">
        <v>14</v>
      </c>
      <c r="B11" s="3">
        <v>76</v>
      </c>
      <c r="C11" s="3">
        <v>54</v>
      </c>
      <c r="D11" s="3">
        <v>74</v>
      </c>
      <c r="E11" s="3">
        <v>204</v>
      </c>
      <c r="F11" s="3"/>
    </row>
    <row r="12" spans="1:6" ht="17.25" thickBot="1" x14ac:dyDescent="0.25">
      <c r="A12" s="2" t="s">
        <v>15</v>
      </c>
      <c r="B12" s="2">
        <v>76</v>
      </c>
      <c r="C12" s="2">
        <v>54</v>
      </c>
      <c r="D12" s="2">
        <v>74</v>
      </c>
      <c r="E12" s="2">
        <v>204</v>
      </c>
      <c r="F12" s="2"/>
    </row>
    <row r="13" spans="1:6" ht="33.75" thickBot="1" x14ac:dyDescent="0.25">
      <c r="A13" s="3" t="s">
        <v>16</v>
      </c>
      <c r="B13" s="3">
        <v>76</v>
      </c>
      <c r="C13" s="3"/>
      <c r="D13" s="3"/>
      <c r="E13" s="3">
        <v>76</v>
      </c>
      <c r="F13" s="3"/>
    </row>
    <row r="14" spans="1:6" ht="33.75" thickBot="1" x14ac:dyDescent="0.25">
      <c r="A14" s="2" t="s">
        <v>17</v>
      </c>
      <c r="B14" s="2">
        <v>76</v>
      </c>
      <c r="C14" s="2"/>
      <c r="D14" s="2"/>
      <c r="E14" s="2">
        <v>76</v>
      </c>
      <c r="F14" s="2"/>
    </row>
    <row r="15" spans="1:6" ht="17.25" thickBot="1" x14ac:dyDescent="0.25">
      <c r="A15" s="3" t="s">
        <v>18</v>
      </c>
      <c r="B15" s="3">
        <v>76</v>
      </c>
      <c r="C15" s="3"/>
      <c r="D15" s="3"/>
      <c r="E15" s="3">
        <v>76</v>
      </c>
      <c r="F15" s="3"/>
    </row>
    <row r="16" spans="1:6" ht="17.25" thickBot="1" x14ac:dyDescent="0.25">
      <c r="A16" s="2" t="s">
        <v>19</v>
      </c>
      <c r="B16" s="2">
        <v>76</v>
      </c>
      <c r="C16" s="2">
        <v>54</v>
      </c>
      <c r="D16" s="2">
        <v>74</v>
      </c>
      <c r="E16" s="2">
        <v>204</v>
      </c>
      <c r="F16" s="2"/>
    </row>
    <row r="17" spans="1:6" ht="17.25" thickBot="1" x14ac:dyDescent="0.25">
      <c r="A17" s="3" t="s">
        <v>20</v>
      </c>
      <c r="B17" s="3">
        <v>76</v>
      </c>
      <c r="C17" s="3"/>
      <c r="D17" s="3"/>
      <c r="E17" s="3">
        <v>76</v>
      </c>
      <c r="F17" s="3"/>
    </row>
    <row r="18" spans="1:6" ht="17.25" thickBot="1" x14ac:dyDescent="0.25">
      <c r="A18" s="2" t="s">
        <v>21</v>
      </c>
      <c r="B18" s="2"/>
      <c r="C18" s="2">
        <v>54</v>
      </c>
      <c r="D18" s="2"/>
      <c r="E18" s="2">
        <v>54</v>
      </c>
      <c r="F18" s="2"/>
    </row>
    <row r="19" spans="1:6" ht="17.25" thickBot="1" x14ac:dyDescent="0.25">
      <c r="A19" s="3" t="s">
        <v>22</v>
      </c>
      <c r="B19" s="3"/>
      <c r="C19" s="3">
        <v>54</v>
      </c>
      <c r="D19" s="3">
        <v>74</v>
      </c>
      <c r="E19" s="3">
        <v>128</v>
      </c>
      <c r="F19" s="3"/>
    </row>
    <row r="20" spans="1:6" ht="17.25" thickBot="1" x14ac:dyDescent="0.25">
      <c r="A20" s="2" t="s">
        <v>23</v>
      </c>
      <c r="B20" s="2"/>
      <c r="C20" s="2"/>
      <c r="D20" s="2">
        <v>74</v>
      </c>
      <c r="E20" s="2">
        <v>74</v>
      </c>
      <c r="F20" s="2"/>
    </row>
    <row r="21" spans="1:6" ht="17.25" thickBot="1" x14ac:dyDescent="0.25">
      <c r="A21" s="3" t="s">
        <v>24</v>
      </c>
      <c r="B21" s="3"/>
      <c r="C21" s="3"/>
      <c r="D21" s="3">
        <v>74</v>
      </c>
      <c r="E21" s="3">
        <v>74</v>
      </c>
      <c r="F21" s="3"/>
    </row>
    <row r="22" spans="1:6" ht="17.25" thickBot="1" x14ac:dyDescent="0.25">
      <c r="A22" s="2" t="s">
        <v>25</v>
      </c>
      <c r="B22" s="2"/>
      <c r="C22" s="2"/>
      <c r="D22" s="2">
        <v>74</v>
      </c>
      <c r="E22" s="2">
        <v>74</v>
      </c>
      <c r="F22" s="2"/>
    </row>
    <row r="23" spans="1:6" ht="17.25" thickBot="1" x14ac:dyDescent="0.25">
      <c r="A23" s="3" t="s">
        <v>26</v>
      </c>
      <c r="B23" s="3"/>
      <c r="C23" s="3"/>
      <c r="D23" s="3">
        <v>74</v>
      </c>
      <c r="E23" s="3">
        <v>74</v>
      </c>
      <c r="F23" s="3"/>
    </row>
    <row r="24" spans="1:6" ht="17.25" thickBot="1" x14ac:dyDescent="0.25">
      <c r="A24" s="2" t="s">
        <v>27</v>
      </c>
      <c r="B24" s="2"/>
      <c r="C24" s="2"/>
      <c r="D24" s="2">
        <v>74</v>
      </c>
      <c r="E24" s="2">
        <v>74</v>
      </c>
      <c r="F24" s="2"/>
    </row>
    <row r="25" spans="1:6" ht="17.25" thickBot="1" x14ac:dyDescent="0.25">
      <c r="A25" s="3" t="s">
        <v>28</v>
      </c>
      <c r="B25" s="3"/>
      <c r="C25" s="3"/>
      <c r="D25" s="3">
        <v>74</v>
      </c>
      <c r="E25" s="3">
        <v>74</v>
      </c>
      <c r="F25" s="3"/>
    </row>
    <row r="26" spans="1:6" ht="17.25" thickBot="1" x14ac:dyDescent="0.25">
      <c r="A26" s="2" t="s">
        <v>29</v>
      </c>
      <c r="B26" s="2"/>
      <c r="C26" s="2"/>
      <c r="D26" s="2">
        <v>74</v>
      </c>
      <c r="E26" s="2">
        <v>74</v>
      </c>
      <c r="F26" s="2"/>
    </row>
    <row r="27" spans="1:6" ht="17.25" thickBot="1" x14ac:dyDescent="0.25">
      <c r="A27" s="3" t="s">
        <v>30</v>
      </c>
      <c r="B27" s="3"/>
      <c r="C27" s="3"/>
      <c r="D27" s="3">
        <v>74</v>
      </c>
      <c r="E27" s="3">
        <v>74</v>
      </c>
      <c r="F27" s="3"/>
    </row>
    <row r="28" spans="1:6" x14ac:dyDescent="0.2">
      <c r="A28" s="4" t="s">
        <v>31</v>
      </c>
      <c r="E28">
        <f>SUM(E2:E27)</f>
        <v>3142</v>
      </c>
      <c r="F28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F6"/>
  <sheetViews>
    <sheetView workbookViewId="0">
      <selection activeCell="K3" sqref="K3"/>
    </sheetView>
  </sheetViews>
  <sheetFormatPr defaultRowHeight="14.25" x14ac:dyDescent="0.2"/>
  <cols>
    <col min="1" max="1" width="17.125" customWidth="1"/>
    <col min="2" max="2" width="21.5" customWidth="1"/>
    <col min="3" max="3" width="25.25" customWidth="1"/>
    <col min="6" max="6" width="24.25" customWidth="1"/>
  </cols>
  <sheetData>
    <row r="1" spans="1:6" ht="35.25" thickBot="1" x14ac:dyDescent="0.25">
      <c r="A1" s="5" t="s">
        <v>33</v>
      </c>
    </row>
    <row r="2" spans="1:6" ht="50.25" thickBot="1" x14ac:dyDescent="0.25">
      <c r="A2" s="1" t="s">
        <v>34</v>
      </c>
      <c r="B2" s="1" t="s">
        <v>0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 ht="158.25" customHeight="1" thickBot="1" x14ac:dyDescent="0.25">
      <c r="A3" s="2" t="s">
        <v>39</v>
      </c>
      <c r="B3" s="2" t="s">
        <v>40</v>
      </c>
      <c r="C3" s="2" t="s">
        <v>41</v>
      </c>
      <c r="D3" s="2">
        <v>1220</v>
      </c>
      <c r="E3" s="2">
        <v>16</v>
      </c>
      <c r="F3" s="2" t="s">
        <v>42</v>
      </c>
    </row>
    <row r="4" spans="1:6" ht="135.75" customHeight="1" thickBot="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>
        <v>11</v>
      </c>
      <c r="F4" s="2" t="s">
        <v>47</v>
      </c>
    </row>
    <row r="5" spans="1:6" ht="50.25" thickBot="1" x14ac:dyDescent="0.25">
      <c r="A5" s="2" t="s">
        <v>48</v>
      </c>
      <c r="B5" s="2" t="s">
        <v>49</v>
      </c>
      <c r="C5" s="2"/>
      <c r="D5" s="2">
        <v>240</v>
      </c>
      <c r="E5" s="2"/>
      <c r="F5" s="2"/>
    </row>
    <row r="6" spans="1:6" ht="234" customHeight="1" thickBot="1" x14ac:dyDescent="0.25">
      <c r="A6" s="3" t="s">
        <v>3</v>
      </c>
      <c r="B6" s="3" t="s">
        <v>50</v>
      </c>
      <c r="C6" s="3"/>
      <c r="D6" s="3" t="s">
        <v>51</v>
      </c>
      <c r="E6" s="3">
        <v>18</v>
      </c>
      <c r="F6" s="3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2026-08-07T06:27:38Z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