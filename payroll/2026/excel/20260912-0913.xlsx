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935330BB-81F7-4F24-AA17-39828A30F6C6}" xr6:coauthVersionLast="47" xr6:coauthVersionMax="47" xr10:uidLastSave="{00000000-0000-0000-0000-000000000000}"/>
  <bookViews>
    <workbookView xWindow="10035" yWindow="330" windowWidth="27975" windowHeight="19845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" i="4"/>
  <c r="D9" i="1"/>
  <c r="C39" i="4" l="1"/>
</calcChain>
</file>

<file path=xl/sharedStrings.xml><?xml version="1.0" encoding="utf-8"?>
<sst xmlns="http://schemas.openxmlformats.org/spreadsheetml/2006/main" count="87" uniqueCount="85">
  <si>
    <t>人员</t>
  </si>
  <si>
    <t>产出</t>
  </si>
  <si>
    <t>总人数</t>
  </si>
  <si>
    <t>Dean</t>
  </si>
  <si>
    <t>时间与地图</t>
  </si>
  <si>
    <t>总收入</t>
  </si>
  <si>
    <t>每人</t>
  </si>
  <si>
    <t>18人</t>
  </si>
  <si>
    <t>kk123</t>
  </si>
  <si>
    <t>合计</t>
    <phoneticPr fontId="1" type="noConversion"/>
  </si>
  <si>
    <t>序号</t>
    <phoneticPr fontId="1" type="noConversion"/>
  </si>
  <si>
    <t>0912-0913 集体产出</t>
  </si>
  <si>
    <t>0912 - 1000 - 魔7通9</t>
  </si>
  <si>
    <t>行会账户A、 胡萝卜、 # 皇族酷、 无悔、 桃白白、 传说小胖、 大钢棒、 天地君、 申妙彤、 你好朋友、 狂暴D小妖、 风云无情、 法紫山、 鼻嗅爱、 惊鸿、 虹之间、 蒙山一道、 舞动乾坤、 曙光来临、 趴下、 kk123</t>
  </si>
  <si>
    <t>和总会分得 1375 + (早上9点魔六 225) = 1,600</t>
  </si>
  <si>
    <t>21人</t>
  </si>
  <si>
    <t>76(余4)</t>
  </si>
  <si>
    <t>0912 - 1600 - 魔7</t>
  </si>
  <si>
    <t>行会账户A、 # 传说小胖、 朱沅、 紫轩唐悦、 虹之间、 惊鸿、 空白系、 皇族酷、 你好朋友、 弑神刀神、天地君、趴下、鼻嗅爱、无悔、花无双、 法紫山、 狂暴D小妖、 桃白白</t>
  </si>
  <si>
    <t>170 + (之前15点魔6合计235通宝) + 圣战戒指 350 = 755</t>
  </si>
  <si>
    <t>41(余17)</t>
  </si>
  <si>
    <t>0912 - 2100 - 魔6</t>
  </si>
  <si>
    <t>行会账户A、 # 桃白白、 幸福道人、无妄绝尘、 狂暴D小妖、 紫轩唐悦、大钢棒、花无双、蒙山一道、法紫山、皇族酷、 无悔、 舞动乾坤</t>
  </si>
  <si>
    <t>石头共115通宝+魔二绑定祝福油200 =315 再加之前顺延(18点石头160+强化魔法盾80=240, 20点石头8个40通宝 + 19点收绑定强化石100) 总共 695</t>
  </si>
  <si>
    <t>13人</t>
  </si>
  <si>
    <t>53(余6)</t>
  </si>
  <si>
    <t>0913 - 1000 - 魔7通9</t>
  </si>
  <si>
    <t>行会账户A、 # Dean、 桃白白、 无悔、 胡萝卜、 风云无情、 趴下、 皇族风、 法紫山、 大钢棒、 无妄绝尘、 清风揽小月、 与市无争、紫轩唐悦、抚琴、天地君、你好朋友</t>
  </si>
  <si>
    <t>十点累计产出：23石头345石头+绑石90+总会分4865=5300通宝 + 9点炼狱4层绑定石头8个40 = 5340</t>
  </si>
  <si>
    <t>17人</t>
  </si>
  <si>
    <t>314(余2)</t>
  </si>
  <si>
    <t>0913 - 1600 - 魔7</t>
  </si>
  <si>
    <t>行会账户A、 # 朱沅、 桃白白、 法紫山、鼻嗅爱、无悔、大钢棒、趴下、大虾、紫轩唐悦、花无双、子无恙、申妙彤、无妄绝尘、舞动乾坤、皇族风、Dean、抚琴、与市无争、看淡浮尘、你好朋友、清风揽小月</t>
  </si>
  <si>
    <t>33石头495通宝+绑石180 合计675</t>
  </si>
  <si>
    <t>22人</t>
  </si>
  <si>
    <t>30(余15)</t>
  </si>
  <si>
    <t>0913 - 2100 - 魔6</t>
  </si>
  <si>
    <t>行会账户A、 kk123、 无悔、 惊鸿、 皇族风、 趴下、 你好朋友、 # 无妄绝尘、 天地君、 皇族酷、紫轩唐悦、幸福道人、大钢棒、清风揽小月、Dean、抚琴、桃白白、舞动乾坤、花无双、与市无争、法紫山</t>
  </si>
  <si>
    <t>21石头315 +绑石220+魔杖200 =735 , 再加 215 = 950</t>
  </si>
  <si>
    <r>
      <t>45(</t>
    </r>
    <r>
      <rPr>
        <sz val="15"/>
        <color theme="1"/>
        <rFont val="微软雅黑"/>
        <family val="2"/>
        <charset val="134"/>
      </rPr>
      <t>余</t>
    </r>
    <r>
      <rPr>
        <sz val="15"/>
        <color theme="1"/>
        <rFont val="Arial"/>
        <family val="2"/>
      </rPr>
      <t>5)</t>
    </r>
    <phoneticPr fontId="1" type="noConversion"/>
  </si>
  <si>
    <t>(余49)</t>
    <phoneticPr fontId="1" type="noConversion"/>
  </si>
  <si>
    <r>
      <rPr>
        <b/>
        <sz val="16"/>
        <color theme="1"/>
        <rFont val="等线"/>
        <family val="3"/>
        <charset val="134"/>
      </rPr>
      <t>人员</t>
    </r>
  </si>
  <si>
    <r>
      <rPr>
        <b/>
        <sz val="16"/>
        <color theme="1"/>
        <rFont val="等线"/>
        <family val="3"/>
        <charset val="134"/>
      </rPr>
      <t>累计应发</t>
    </r>
  </si>
  <si>
    <r>
      <rPr>
        <b/>
        <sz val="16"/>
        <color theme="1"/>
        <rFont val="等线"/>
        <family val="3"/>
        <charset val="134"/>
      </rPr>
      <t>领取</t>
    </r>
  </si>
  <si>
    <r>
      <t xml:space="preserve">0912 - 1000 -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  <r>
      <rPr>
        <b/>
        <sz val="16"/>
        <color theme="1"/>
        <rFont val="等线"/>
        <family val="3"/>
        <charset val="134"/>
      </rPr>
      <t>通</t>
    </r>
    <r>
      <rPr>
        <b/>
        <sz val="16"/>
        <color theme="1"/>
        <rFont val="Segoe UI"/>
        <family val="2"/>
      </rPr>
      <t>9</t>
    </r>
  </si>
  <si>
    <r>
      <t xml:space="preserve">0912 - 1600 -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</si>
  <si>
    <r>
      <t xml:space="preserve">0912 - 2100 -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6</t>
    </r>
  </si>
  <si>
    <r>
      <t xml:space="preserve">0913 - 1000 -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  <r>
      <rPr>
        <b/>
        <sz val="16"/>
        <color theme="1"/>
        <rFont val="等线"/>
        <family val="3"/>
        <charset val="134"/>
      </rPr>
      <t>通</t>
    </r>
    <r>
      <rPr>
        <b/>
        <sz val="16"/>
        <color theme="1"/>
        <rFont val="Segoe UI"/>
        <family val="2"/>
      </rPr>
      <t>9</t>
    </r>
  </si>
  <si>
    <r>
      <t xml:space="preserve">0913 - 1600 -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</si>
  <si>
    <r>
      <t xml:space="preserve">0913 - 2100 -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6</t>
    </r>
  </si>
  <si>
    <r>
      <rPr>
        <b/>
        <sz val="16"/>
        <color theme="1"/>
        <rFont val="等线"/>
        <family val="3"/>
        <charset val="134"/>
      </rPr>
      <t>行会账户</t>
    </r>
    <r>
      <rPr>
        <b/>
        <sz val="16"/>
        <color theme="1"/>
        <rFont val="Segoe UI"/>
        <family val="2"/>
      </rPr>
      <t>A</t>
    </r>
  </si>
  <si>
    <r>
      <rPr>
        <b/>
        <sz val="16"/>
        <color theme="1"/>
        <rFont val="等线"/>
        <family val="3"/>
        <charset val="134"/>
      </rPr>
      <t>胡萝卜</t>
    </r>
  </si>
  <si>
    <r>
      <rPr>
        <b/>
        <sz val="16"/>
        <color theme="1"/>
        <rFont val="等线"/>
        <family val="3"/>
        <charset val="134"/>
      </rPr>
      <t>皇族酷</t>
    </r>
  </si>
  <si>
    <r>
      <rPr>
        <b/>
        <sz val="16"/>
        <color theme="1"/>
        <rFont val="等线"/>
        <family val="3"/>
        <charset val="134"/>
      </rPr>
      <t>无悔</t>
    </r>
  </si>
  <si>
    <r>
      <rPr>
        <b/>
        <sz val="16"/>
        <color theme="1"/>
        <rFont val="等线"/>
        <family val="3"/>
        <charset val="134"/>
      </rPr>
      <t>桃白白</t>
    </r>
  </si>
  <si>
    <r>
      <rPr>
        <b/>
        <sz val="16"/>
        <color theme="1"/>
        <rFont val="等线"/>
        <family val="3"/>
        <charset val="134"/>
      </rPr>
      <t>传说小胖</t>
    </r>
  </si>
  <si>
    <r>
      <rPr>
        <b/>
        <sz val="16"/>
        <color theme="1"/>
        <rFont val="等线"/>
        <family val="3"/>
        <charset val="134"/>
      </rPr>
      <t>大钢棒</t>
    </r>
  </si>
  <si>
    <r>
      <rPr>
        <b/>
        <sz val="16"/>
        <color theme="1"/>
        <rFont val="等线"/>
        <family val="3"/>
        <charset val="134"/>
      </rPr>
      <t>天地君</t>
    </r>
  </si>
  <si>
    <r>
      <rPr>
        <b/>
        <sz val="16"/>
        <color theme="1"/>
        <rFont val="等线"/>
        <family val="3"/>
        <charset val="134"/>
      </rPr>
      <t>申妙彤</t>
    </r>
  </si>
  <si>
    <r>
      <rPr>
        <b/>
        <sz val="16"/>
        <color theme="1"/>
        <rFont val="等线"/>
        <family val="3"/>
        <charset val="134"/>
      </rPr>
      <t>你好朋友</t>
    </r>
  </si>
  <si>
    <r>
      <rPr>
        <b/>
        <sz val="16"/>
        <color theme="1"/>
        <rFont val="等线"/>
        <family val="3"/>
        <charset val="134"/>
      </rPr>
      <t>狂暴</t>
    </r>
    <r>
      <rPr>
        <b/>
        <sz val="16"/>
        <color theme="1"/>
        <rFont val="Segoe UI"/>
        <family val="2"/>
      </rPr>
      <t>D</t>
    </r>
    <r>
      <rPr>
        <b/>
        <sz val="16"/>
        <color theme="1"/>
        <rFont val="等线"/>
        <family val="3"/>
        <charset val="134"/>
      </rPr>
      <t>小妖</t>
    </r>
  </si>
  <si>
    <r>
      <rPr>
        <b/>
        <sz val="16"/>
        <color theme="1"/>
        <rFont val="等线"/>
        <family val="3"/>
        <charset val="134"/>
      </rPr>
      <t>风云无情</t>
    </r>
  </si>
  <si>
    <r>
      <rPr>
        <b/>
        <sz val="16"/>
        <color theme="1"/>
        <rFont val="等线"/>
        <family val="3"/>
        <charset val="134"/>
      </rPr>
      <t>法紫山</t>
    </r>
  </si>
  <si>
    <r>
      <rPr>
        <b/>
        <sz val="16"/>
        <color theme="1"/>
        <rFont val="等线"/>
        <family val="3"/>
        <charset val="134"/>
      </rPr>
      <t>鼻嗅爱</t>
    </r>
  </si>
  <si>
    <r>
      <rPr>
        <b/>
        <sz val="16"/>
        <color theme="1"/>
        <rFont val="等线"/>
        <family val="3"/>
        <charset val="134"/>
      </rPr>
      <t>惊鸿</t>
    </r>
  </si>
  <si>
    <r>
      <rPr>
        <b/>
        <sz val="16"/>
        <color theme="1"/>
        <rFont val="等线"/>
        <family val="3"/>
        <charset val="134"/>
      </rPr>
      <t>虹之间</t>
    </r>
  </si>
  <si>
    <r>
      <rPr>
        <b/>
        <sz val="16"/>
        <color theme="1"/>
        <rFont val="等线"/>
        <family val="3"/>
        <charset val="134"/>
      </rPr>
      <t>蒙山一道</t>
    </r>
  </si>
  <si>
    <r>
      <rPr>
        <b/>
        <sz val="16"/>
        <color theme="1"/>
        <rFont val="等线"/>
        <family val="3"/>
        <charset val="134"/>
      </rPr>
      <t>舞动乾坤</t>
    </r>
  </si>
  <si>
    <r>
      <rPr>
        <b/>
        <sz val="16"/>
        <color theme="1"/>
        <rFont val="等线"/>
        <family val="3"/>
        <charset val="134"/>
      </rPr>
      <t>曙光来临</t>
    </r>
  </si>
  <si>
    <r>
      <rPr>
        <b/>
        <sz val="16"/>
        <color theme="1"/>
        <rFont val="等线"/>
        <family val="3"/>
        <charset val="134"/>
      </rPr>
      <t>趴下</t>
    </r>
  </si>
  <si>
    <r>
      <rPr>
        <b/>
        <sz val="16"/>
        <color theme="1"/>
        <rFont val="等线"/>
        <family val="3"/>
        <charset val="134"/>
      </rPr>
      <t>朱沅</t>
    </r>
  </si>
  <si>
    <r>
      <rPr>
        <b/>
        <sz val="16"/>
        <color theme="1"/>
        <rFont val="等线"/>
        <family val="3"/>
        <charset val="134"/>
      </rPr>
      <t>紫轩唐悦</t>
    </r>
  </si>
  <si>
    <r>
      <rPr>
        <b/>
        <sz val="16"/>
        <color theme="1"/>
        <rFont val="等线"/>
        <family val="3"/>
        <charset val="134"/>
      </rPr>
      <t>空白系</t>
    </r>
  </si>
  <si>
    <r>
      <rPr>
        <b/>
        <sz val="16"/>
        <color theme="1"/>
        <rFont val="等线"/>
        <family val="3"/>
        <charset val="134"/>
      </rPr>
      <t>弑神刀神</t>
    </r>
  </si>
  <si>
    <r>
      <rPr>
        <b/>
        <sz val="16"/>
        <color theme="1"/>
        <rFont val="等线"/>
        <family val="3"/>
        <charset val="134"/>
      </rPr>
      <t>花无双</t>
    </r>
  </si>
  <si>
    <r>
      <rPr>
        <b/>
        <sz val="16"/>
        <color theme="1"/>
        <rFont val="等线"/>
        <family val="3"/>
        <charset val="134"/>
      </rPr>
      <t>幸福道人</t>
    </r>
  </si>
  <si>
    <r>
      <rPr>
        <b/>
        <sz val="16"/>
        <color theme="1"/>
        <rFont val="等线"/>
        <family val="3"/>
        <charset val="134"/>
      </rPr>
      <t>无妄绝尘</t>
    </r>
  </si>
  <si>
    <r>
      <rPr>
        <b/>
        <sz val="16"/>
        <color theme="1"/>
        <rFont val="等线"/>
        <family val="3"/>
        <charset val="134"/>
      </rPr>
      <t>皇族风</t>
    </r>
  </si>
  <si>
    <r>
      <rPr>
        <b/>
        <sz val="16"/>
        <color theme="1"/>
        <rFont val="等线"/>
        <family val="3"/>
        <charset val="134"/>
      </rPr>
      <t>清风揽小月</t>
    </r>
  </si>
  <si>
    <r>
      <rPr>
        <b/>
        <sz val="16"/>
        <color theme="1"/>
        <rFont val="等线"/>
        <family val="3"/>
        <charset val="134"/>
      </rPr>
      <t>与市无争</t>
    </r>
  </si>
  <si>
    <r>
      <rPr>
        <b/>
        <sz val="16"/>
        <color theme="1"/>
        <rFont val="等线"/>
        <family val="3"/>
        <charset val="134"/>
      </rPr>
      <t>抚琴</t>
    </r>
  </si>
  <si>
    <r>
      <rPr>
        <b/>
        <sz val="16"/>
        <color theme="1"/>
        <rFont val="等线"/>
        <family val="3"/>
        <charset val="134"/>
      </rPr>
      <t>大虾</t>
    </r>
  </si>
  <si>
    <r>
      <rPr>
        <b/>
        <sz val="16"/>
        <color theme="1"/>
        <rFont val="等线"/>
        <family val="3"/>
        <charset val="134"/>
      </rPr>
      <t>子无恙</t>
    </r>
  </si>
  <si>
    <r>
      <rPr>
        <b/>
        <sz val="16"/>
        <color theme="1"/>
        <rFont val="Arial"/>
        <family val="2"/>
      </rPr>
      <t>看淡浮尘</t>
    </r>
  </si>
  <si>
    <r>
      <t xml:space="preserve">0912-0913 </t>
    </r>
    <r>
      <rPr>
        <b/>
        <sz val="16"/>
        <color theme="1"/>
        <rFont val="等线"/>
        <family val="3"/>
        <charset val="134"/>
      </rPr>
      <t>集体产出</t>
    </r>
    <r>
      <rPr>
        <b/>
        <sz val="16"/>
        <color theme="1"/>
        <rFont val="Segoe UI"/>
        <family val="3"/>
      </rPr>
      <t xml:space="preserve"> 10015 ( </t>
    </r>
    <r>
      <rPr>
        <b/>
        <sz val="16"/>
        <color theme="1"/>
        <rFont val="等线"/>
        <family val="3"/>
        <charset val="134"/>
      </rPr>
      <t>实际分配</t>
    </r>
    <r>
      <rPr>
        <b/>
        <sz val="16"/>
        <color theme="1"/>
        <rFont val="Segoe UI"/>
        <family val="3"/>
      </rPr>
      <t xml:space="preserve"> 9966 ) </t>
    </r>
    <r>
      <rPr>
        <b/>
        <sz val="16"/>
        <color theme="1"/>
        <rFont val="等线"/>
        <family val="3"/>
        <charset val="134"/>
      </rPr>
      <t>行会账户</t>
    </r>
    <r>
      <rPr>
        <b/>
        <sz val="16"/>
        <color theme="1"/>
        <rFont val="Segoe UI"/>
        <family val="2"/>
      </rPr>
      <t xml:space="preserve">A </t>
    </r>
    <r>
      <rPr>
        <b/>
        <sz val="16"/>
        <color theme="1"/>
        <rFont val="等线"/>
        <family val="3"/>
        <charset val="134"/>
      </rPr>
      <t>往期结存</t>
    </r>
    <r>
      <rPr>
        <b/>
        <sz val="16"/>
        <color theme="1"/>
        <rFont val="Segoe UI"/>
        <family val="2"/>
      </rPr>
      <t xml:space="preserve"> ( 3,136 + 286 = 3,422)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</si>
</sst>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4.3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b/>
      <sz val="16"/>
      <color theme="1"/>
      <name val="等线"/>
      <family val="3"/>
      <charset val="134"/>
      <scheme val="minor"/>
    </font>
    <font>
      <sz val="15"/>
      <color theme="1"/>
      <name val="微软雅黑"/>
      <family val="2"/>
      <charset val="134"/>
    </font>
    <font>
      <b/>
      <sz val="16"/>
      <color theme="1"/>
      <name val="等线"/>
      <family val="2"/>
      <charset val="134"/>
      <scheme val="minor"/>
    </font>
    <font>
      <b/>
      <sz val="16"/>
      <color theme="1"/>
      <name val="Segoe UI"/>
      <family val="2"/>
    </font>
    <font>
      <b/>
      <sz val="16"/>
      <color theme="1"/>
      <name val="等线"/>
      <family val="3"/>
      <charset val="134"/>
    </font>
    <font>
      <b/>
      <sz val="16"/>
      <color theme="1"/>
      <name val="Arial"/>
      <family val="2"/>
    </font>
    <font>
      <b/>
      <sz val="16"/>
      <color theme="1"/>
      <name val="Segoe UI"/>
      <family val="3"/>
    </font>
    <font>
      <b/>
      <sz val="16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9"/>
  <sheetViews>
    <sheetView zoomScale="85" zoomScaleNormal="85" workbookViewId="0">
      <selection activeCell="D15" sqref="D15"/>
    </sheetView>
  </sheetViews>
  <sheetFormatPr defaultColWidth="26.5" defaultRowHeight="12.75" x14ac:dyDescent="0.2"/>
  <cols>
    <col min="1" max="1" width="26.5" style="1"/>
    <col min="2" max="2" width="60.75" style="1" customWidth="1"/>
    <col min="3" max="3" width="39.5" style="1" customWidth="1"/>
    <col min="4" max="16384" width="26.5" style="1"/>
  </cols>
  <sheetData>
    <row r="1" spans="1:6" ht="18.75" thickBot="1" x14ac:dyDescent="0.25">
      <c r="A1" s="2" t="s">
        <v>11</v>
      </c>
      <c r="B1" s="6"/>
      <c r="C1" s="6"/>
      <c r="D1" s="6"/>
      <c r="E1" s="6"/>
      <c r="F1" s="6"/>
    </row>
    <row r="2" spans="1:6" ht="20.25" thickBot="1" x14ac:dyDescent="0.25">
      <c r="A2" s="3" t="s">
        <v>4</v>
      </c>
      <c r="B2" s="3" t="s">
        <v>0</v>
      </c>
      <c r="C2" s="3" t="s">
        <v>1</v>
      </c>
      <c r="D2" s="3" t="s">
        <v>5</v>
      </c>
      <c r="E2" s="3" t="s">
        <v>2</v>
      </c>
      <c r="F2" s="3" t="s">
        <v>6</v>
      </c>
    </row>
    <row r="3" spans="1:6" ht="94.5" thickBot="1" x14ac:dyDescent="0.25">
      <c r="A3" s="7" t="s">
        <v>12</v>
      </c>
      <c r="B3" s="7" t="s">
        <v>13</v>
      </c>
      <c r="C3" s="7" t="s">
        <v>14</v>
      </c>
      <c r="D3" s="4">
        <v>1600</v>
      </c>
      <c r="E3" s="4" t="s">
        <v>15</v>
      </c>
      <c r="F3" s="4" t="s">
        <v>16</v>
      </c>
    </row>
    <row r="4" spans="1:6" ht="75.75" thickBot="1" x14ac:dyDescent="0.25">
      <c r="A4" s="7" t="s">
        <v>17</v>
      </c>
      <c r="B4" s="7" t="s">
        <v>18</v>
      </c>
      <c r="C4" s="7" t="s">
        <v>19</v>
      </c>
      <c r="D4" s="4">
        <v>755</v>
      </c>
      <c r="E4" s="4" t="s">
        <v>7</v>
      </c>
      <c r="F4" s="4" t="s">
        <v>20</v>
      </c>
    </row>
    <row r="5" spans="1:6" ht="94.5" thickBot="1" x14ac:dyDescent="0.25">
      <c r="A5" s="7" t="s">
        <v>21</v>
      </c>
      <c r="B5" s="7" t="s">
        <v>22</v>
      </c>
      <c r="C5" s="7" t="s">
        <v>23</v>
      </c>
      <c r="D5" s="4">
        <v>695</v>
      </c>
      <c r="E5" s="4" t="s">
        <v>24</v>
      </c>
      <c r="F5" s="4" t="s">
        <v>25</v>
      </c>
    </row>
    <row r="6" spans="1:6" ht="75.75" thickBot="1" x14ac:dyDescent="0.25">
      <c r="A6" s="7" t="s">
        <v>26</v>
      </c>
      <c r="B6" s="7" t="s">
        <v>27</v>
      </c>
      <c r="C6" s="7" t="s">
        <v>28</v>
      </c>
      <c r="D6" s="4">
        <v>5340</v>
      </c>
      <c r="E6" s="4" t="s">
        <v>29</v>
      </c>
      <c r="F6" s="4" t="s">
        <v>30</v>
      </c>
    </row>
    <row r="7" spans="1:6" ht="94.5" thickBot="1" x14ac:dyDescent="0.25">
      <c r="A7" s="7" t="s">
        <v>31</v>
      </c>
      <c r="B7" s="7" t="s">
        <v>32</v>
      </c>
      <c r="C7" s="7" t="s">
        <v>33</v>
      </c>
      <c r="D7" s="4">
        <v>675</v>
      </c>
      <c r="E7" s="4" t="s">
        <v>34</v>
      </c>
      <c r="F7" s="4" t="s">
        <v>35</v>
      </c>
    </row>
    <row r="8" spans="1:6" ht="75.75" thickBot="1" x14ac:dyDescent="0.25">
      <c r="A8" s="7" t="s">
        <v>36</v>
      </c>
      <c r="B8" s="7" t="s">
        <v>37</v>
      </c>
      <c r="C8" s="7" t="s">
        <v>38</v>
      </c>
      <c r="D8" s="4">
        <v>950</v>
      </c>
      <c r="E8" s="4" t="s">
        <v>15</v>
      </c>
      <c r="F8" s="4" t="s">
        <v>39</v>
      </c>
    </row>
    <row r="9" spans="1:6" ht="39" customHeight="1" x14ac:dyDescent="0.2">
      <c r="C9" s="8" t="s">
        <v>9</v>
      </c>
      <c r="D9" s="5">
        <f>SUM(D3:D8)</f>
        <v>10015</v>
      </c>
      <c r="F9" s="8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J39"/>
  <sheetViews>
    <sheetView tabSelected="1" zoomScale="85" zoomScaleNormal="85" workbookViewId="0">
      <selection activeCell="A10" sqref="A10:XFD10"/>
    </sheetView>
  </sheetViews>
  <sheetFormatPr defaultColWidth="8.625" defaultRowHeight="23.1" customHeight="1" x14ac:dyDescent="0.2"/>
  <cols>
    <col min="1" max="1" width="8.625" style="9"/>
    <col min="2" max="2" width="18.125" style="9" customWidth="1"/>
    <col min="3" max="3" width="11.875" style="11" bestFit="1" customWidth="1"/>
    <col min="4" max="4" width="11.375" style="11" customWidth="1"/>
    <col min="5" max="5" width="16.625" style="11" customWidth="1"/>
    <col min="6" max="6" width="19.125" style="11" customWidth="1"/>
    <col min="7" max="7" width="18.125" style="11" customWidth="1"/>
    <col min="8" max="8" width="20" style="11" customWidth="1"/>
    <col min="9" max="9" width="16.5" style="11" customWidth="1"/>
    <col min="10" max="10" width="17" style="11" customWidth="1"/>
    <col min="11" max="16384" width="8.625" style="11"/>
  </cols>
  <sheetData>
    <row r="1" spans="1:10" ht="32.25" customHeight="1" x14ac:dyDescent="0.2">
      <c r="B1" s="10" t="s">
        <v>84</v>
      </c>
      <c r="C1" s="10"/>
      <c r="D1" s="10"/>
      <c r="E1" s="10"/>
      <c r="F1" s="10"/>
      <c r="G1" s="10"/>
      <c r="H1" s="10"/>
      <c r="I1" s="10"/>
      <c r="J1" s="10"/>
    </row>
    <row r="2" spans="1:10" ht="49.5" customHeight="1" x14ac:dyDescent="0.2">
      <c r="A2" s="13" t="s">
        <v>10</v>
      </c>
      <c r="B2" s="14" t="s">
        <v>41</v>
      </c>
      <c r="C2" s="14" t="s">
        <v>42</v>
      </c>
      <c r="D2" s="14" t="s">
        <v>43</v>
      </c>
      <c r="E2" s="14" t="s">
        <v>44</v>
      </c>
      <c r="F2" s="14" t="s">
        <v>45</v>
      </c>
      <c r="G2" s="14" t="s">
        <v>46</v>
      </c>
      <c r="H2" s="14" t="s">
        <v>47</v>
      </c>
      <c r="I2" s="14" t="s">
        <v>48</v>
      </c>
      <c r="J2" s="14" t="s">
        <v>49</v>
      </c>
    </row>
    <row r="3" spans="1:10" ht="23.1" customHeight="1" x14ac:dyDescent="0.2">
      <c r="A3" s="12">
        <v>1</v>
      </c>
      <c r="B3" s="14" t="s">
        <v>50</v>
      </c>
      <c r="C3" s="14">
        <f>E3+F3+G3+H3+I3+J3</f>
        <v>559</v>
      </c>
      <c r="D3" s="14"/>
      <c r="E3" s="14">
        <v>76</v>
      </c>
      <c r="F3" s="14">
        <v>41</v>
      </c>
      <c r="G3" s="14">
        <v>53</v>
      </c>
      <c r="H3" s="14">
        <v>314</v>
      </c>
      <c r="I3" s="14">
        <v>30</v>
      </c>
      <c r="J3" s="14">
        <v>45</v>
      </c>
    </row>
    <row r="4" spans="1:10" ht="23.1" customHeight="1" x14ac:dyDescent="0.2">
      <c r="A4" s="12">
        <v>2</v>
      </c>
      <c r="B4" s="14" t="s">
        <v>51</v>
      </c>
      <c r="C4" s="14">
        <f t="shared" ref="C4:C38" si="0">E4+F4+G4+H4+I4+J4</f>
        <v>390</v>
      </c>
      <c r="D4" s="14"/>
      <c r="E4" s="14">
        <v>76</v>
      </c>
      <c r="F4" s="14"/>
      <c r="G4" s="14"/>
      <c r="H4" s="14">
        <v>314</v>
      </c>
      <c r="I4" s="14"/>
      <c r="J4" s="14"/>
    </row>
    <row r="5" spans="1:10" ht="23.1" customHeight="1" x14ac:dyDescent="0.2">
      <c r="A5" s="12">
        <v>3</v>
      </c>
      <c r="B5" s="14" t="s">
        <v>52</v>
      </c>
      <c r="C5" s="14">
        <f t="shared" si="0"/>
        <v>215</v>
      </c>
      <c r="D5" s="14"/>
      <c r="E5" s="14">
        <v>76</v>
      </c>
      <c r="F5" s="14">
        <v>41</v>
      </c>
      <c r="G5" s="14">
        <v>53</v>
      </c>
      <c r="H5" s="14"/>
      <c r="I5" s="14"/>
      <c r="J5" s="14">
        <v>45</v>
      </c>
    </row>
    <row r="6" spans="1:10" ht="23.1" customHeight="1" x14ac:dyDescent="0.2">
      <c r="A6" s="12">
        <v>4</v>
      </c>
      <c r="B6" s="14" t="s">
        <v>53</v>
      </c>
      <c r="C6" s="14">
        <f t="shared" si="0"/>
        <v>559</v>
      </c>
      <c r="D6" s="14"/>
      <c r="E6" s="14">
        <v>76</v>
      </c>
      <c r="F6" s="14">
        <v>41</v>
      </c>
      <c r="G6" s="14">
        <v>53</v>
      </c>
      <c r="H6" s="14">
        <v>314</v>
      </c>
      <c r="I6" s="14">
        <v>30</v>
      </c>
      <c r="J6" s="14">
        <v>45</v>
      </c>
    </row>
    <row r="7" spans="1:10" ht="23.1" customHeight="1" x14ac:dyDescent="0.2">
      <c r="A7" s="12">
        <v>5</v>
      </c>
      <c r="B7" s="14" t="s">
        <v>54</v>
      </c>
      <c r="C7" s="14">
        <f t="shared" si="0"/>
        <v>559</v>
      </c>
      <c r="D7" s="14"/>
      <c r="E7" s="14">
        <v>76</v>
      </c>
      <c r="F7" s="14">
        <v>41</v>
      </c>
      <c r="G7" s="14">
        <v>53</v>
      </c>
      <c r="H7" s="14">
        <v>314</v>
      </c>
      <c r="I7" s="14">
        <v>30</v>
      </c>
      <c r="J7" s="14">
        <v>45</v>
      </c>
    </row>
    <row r="8" spans="1:10" ht="23.1" customHeight="1" x14ac:dyDescent="0.2">
      <c r="A8" s="12">
        <v>6</v>
      </c>
      <c r="B8" s="14" t="s">
        <v>55</v>
      </c>
      <c r="C8" s="14">
        <f t="shared" si="0"/>
        <v>117</v>
      </c>
      <c r="D8" s="14"/>
      <c r="E8" s="14">
        <v>76</v>
      </c>
      <c r="F8" s="14">
        <v>41</v>
      </c>
      <c r="G8" s="14"/>
      <c r="H8" s="14"/>
      <c r="I8" s="14"/>
      <c r="J8" s="14"/>
    </row>
    <row r="9" spans="1:10" ht="23.1" customHeight="1" x14ac:dyDescent="0.2">
      <c r="A9" s="12">
        <v>7</v>
      </c>
      <c r="B9" s="14" t="s">
        <v>56</v>
      </c>
      <c r="C9" s="14">
        <f t="shared" si="0"/>
        <v>518</v>
      </c>
      <c r="D9" s="14"/>
      <c r="E9" s="14">
        <v>76</v>
      </c>
      <c r="F9" s="14"/>
      <c r="G9" s="14">
        <v>53</v>
      </c>
      <c r="H9" s="14">
        <v>314</v>
      </c>
      <c r="I9" s="14">
        <v>30</v>
      </c>
      <c r="J9" s="14">
        <v>45</v>
      </c>
    </row>
    <row r="10" spans="1:10" ht="23.1" customHeight="1" x14ac:dyDescent="0.2">
      <c r="A10" s="12">
        <v>8</v>
      </c>
      <c r="B10" s="14" t="s">
        <v>57</v>
      </c>
      <c r="C10" s="14">
        <f t="shared" si="0"/>
        <v>476</v>
      </c>
      <c r="D10" s="14"/>
      <c r="E10" s="14">
        <v>76</v>
      </c>
      <c r="F10" s="14">
        <v>41</v>
      </c>
      <c r="G10" s="14"/>
      <c r="H10" s="14">
        <v>314</v>
      </c>
      <c r="I10" s="14"/>
      <c r="J10" s="14">
        <v>45</v>
      </c>
    </row>
    <row r="11" spans="1:10" ht="23.1" customHeight="1" x14ac:dyDescent="0.2">
      <c r="A11" s="12">
        <v>9</v>
      </c>
      <c r="B11" s="14" t="s">
        <v>58</v>
      </c>
      <c r="C11" s="14">
        <f t="shared" si="0"/>
        <v>106</v>
      </c>
      <c r="D11" s="14"/>
      <c r="E11" s="14">
        <v>76</v>
      </c>
      <c r="F11" s="14"/>
      <c r="G11" s="14"/>
      <c r="H11" s="14"/>
      <c r="I11" s="14">
        <v>30</v>
      </c>
      <c r="J11" s="14"/>
    </row>
    <row r="12" spans="1:10" ht="23.1" customHeight="1" x14ac:dyDescent="0.2">
      <c r="A12" s="12">
        <v>10</v>
      </c>
      <c r="B12" s="14" t="s">
        <v>59</v>
      </c>
      <c r="C12" s="14">
        <f t="shared" si="0"/>
        <v>506</v>
      </c>
      <c r="D12" s="14"/>
      <c r="E12" s="14">
        <v>76</v>
      </c>
      <c r="F12" s="14">
        <v>41</v>
      </c>
      <c r="G12" s="14"/>
      <c r="H12" s="14">
        <v>314</v>
      </c>
      <c r="I12" s="14">
        <v>30</v>
      </c>
      <c r="J12" s="14">
        <v>45</v>
      </c>
    </row>
    <row r="13" spans="1:10" ht="23.1" customHeight="1" x14ac:dyDescent="0.2">
      <c r="A13" s="12">
        <v>11</v>
      </c>
      <c r="B13" s="14" t="s">
        <v>60</v>
      </c>
      <c r="C13" s="14">
        <f t="shared" si="0"/>
        <v>170</v>
      </c>
      <c r="D13" s="14"/>
      <c r="E13" s="14">
        <v>76</v>
      </c>
      <c r="F13" s="14">
        <v>41</v>
      </c>
      <c r="G13" s="14">
        <v>53</v>
      </c>
      <c r="H13" s="14"/>
      <c r="I13" s="14"/>
      <c r="J13" s="14"/>
    </row>
    <row r="14" spans="1:10" ht="23.1" customHeight="1" x14ac:dyDescent="0.2">
      <c r="A14" s="12">
        <v>12</v>
      </c>
      <c r="B14" s="14" t="s">
        <v>61</v>
      </c>
      <c r="C14" s="14">
        <f t="shared" si="0"/>
        <v>390</v>
      </c>
      <c r="D14" s="14"/>
      <c r="E14" s="14">
        <v>76</v>
      </c>
      <c r="F14" s="14"/>
      <c r="G14" s="14"/>
      <c r="H14" s="14">
        <v>314</v>
      </c>
      <c r="I14" s="14"/>
      <c r="J14" s="14"/>
    </row>
    <row r="15" spans="1:10" ht="23.1" customHeight="1" x14ac:dyDescent="0.2">
      <c r="A15" s="12">
        <v>13</v>
      </c>
      <c r="B15" s="14" t="s">
        <v>62</v>
      </c>
      <c r="C15" s="14">
        <f t="shared" si="0"/>
        <v>559</v>
      </c>
      <c r="D15" s="14"/>
      <c r="E15" s="14">
        <v>76</v>
      </c>
      <c r="F15" s="14">
        <v>41</v>
      </c>
      <c r="G15" s="14">
        <v>53</v>
      </c>
      <c r="H15" s="14">
        <v>314</v>
      </c>
      <c r="I15" s="14">
        <v>30</v>
      </c>
      <c r="J15" s="14">
        <v>45</v>
      </c>
    </row>
    <row r="16" spans="1:10" ht="23.1" customHeight="1" x14ac:dyDescent="0.2">
      <c r="A16" s="12">
        <v>14</v>
      </c>
      <c r="B16" s="14" t="s">
        <v>63</v>
      </c>
      <c r="C16" s="14">
        <f t="shared" si="0"/>
        <v>147</v>
      </c>
      <c r="D16" s="14"/>
      <c r="E16" s="14">
        <v>76</v>
      </c>
      <c r="F16" s="14">
        <v>41</v>
      </c>
      <c r="G16" s="14"/>
      <c r="H16" s="14"/>
      <c r="I16" s="14">
        <v>30</v>
      </c>
      <c r="J16" s="14"/>
    </row>
    <row r="17" spans="1:10" ht="23.1" customHeight="1" x14ac:dyDescent="0.2">
      <c r="A17" s="12">
        <v>15</v>
      </c>
      <c r="B17" s="14" t="s">
        <v>64</v>
      </c>
      <c r="C17" s="14">
        <f t="shared" si="0"/>
        <v>162</v>
      </c>
      <c r="D17" s="14"/>
      <c r="E17" s="14">
        <v>76</v>
      </c>
      <c r="F17" s="14">
        <v>41</v>
      </c>
      <c r="G17" s="14"/>
      <c r="H17" s="14"/>
      <c r="I17" s="14"/>
      <c r="J17" s="14">
        <v>45</v>
      </c>
    </row>
    <row r="18" spans="1:10" ht="23.1" customHeight="1" x14ac:dyDescent="0.2">
      <c r="A18" s="12">
        <v>16</v>
      </c>
      <c r="B18" s="14" t="s">
        <v>65</v>
      </c>
      <c r="C18" s="14">
        <f t="shared" si="0"/>
        <v>117</v>
      </c>
      <c r="D18" s="14"/>
      <c r="E18" s="14">
        <v>76</v>
      </c>
      <c r="F18" s="14">
        <v>41</v>
      </c>
      <c r="G18" s="14"/>
      <c r="H18" s="14"/>
      <c r="I18" s="14"/>
      <c r="J18" s="14"/>
    </row>
    <row r="19" spans="1:10" ht="23.1" customHeight="1" x14ac:dyDescent="0.2">
      <c r="A19" s="12">
        <v>17</v>
      </c>
      <c r="B19" s="14" t="s">
        <v>66</v>
      </c>
      <c r="C19" s="14">
        <f t="shared" si="0"/>
        <v>129</v>
      </c>
      <c r="D19" s="14"/>
      <c r="E19" s="14">
        <v>76</v>
      </c>
      <c r="F19" s="14"/>
      <c r="G19" s="14">
        <v>53</v>
      </c>
      <c r="H19" s="14"/>
      <c r="I19" s="14"/>
      <c r="J19" s="14"/>
    </row>
    <row r="20" spans="1:10" ht="23.1" customHeight="1" x14ac:dyDescent="0.2">
      <c r="A20" s="12">
        <v>18</v>
      </c>
      <c r="B20" s="14" t="s">
        <v>67</v>
      </c>
      <c r="C20" s="14">
        <f t="shared" si="0"/>
        <v>204</v>
      </c>
      <c r="D20" s="14"/>
      <c r="E20" s="14">
        <v>76</v>
      </c>
      <c r="F20" s="14"/>
      <c r="G20" s="14">
        <v>53</v>
      </c>
      <c r="H20" s="14"/>
      <c r="I20" s="14">
        <v>30</v>
      </c>
      <c r="J20" s="14">
        <v>45</v>
      </c>
    </row>
    <row r="21" spans="1:10" ht="23.1" customHeight="1" x14ac:dyDescent="0.2">
      <c r="A21" s="12">
        <v>19</v>
      </c>
      <c r="B21" s="14" t="s">
        <v>68</v>
      </c>
      <c r="C21" s="14">
        <f t="shared" si="0"/>
        <v>76</v>
      </c>
      <c r="D21" s="14"/>
      <c r="E21" s="14">
        <v>76</v>
      </c>
      <c r="F21" s="14"/>
      <c r="G21" s="14"/>
      <c r="H21" s="14"/>
      <c r="I21" s="14"/>
      <c r="J21" s="14"/>
    </row>
    <row r="22" spans="1:10" ht="23.1" customHeight="1" x14ac:dyDescent="0.2">
      <c r="A22" s="12">
        <v>20</v>
      </c>
      <c r="B22" s="14" t="s">
        <v>69</v>
      </c>
      <c r="C22" s="14">
        <f t="shared" si="0"/>
        <v>506</v>
      </c>
      <c r="D22" s="14"/>
      <c r="E22" s="14">
        <v>76</v>
      </c>
      <c r="F22" s="14">
        <v>41</v>
      </c>
      <c r="G22" s="14"/>
      <c r="H22" s="14">
        <v>314</v>
      </c>
      <c r="I22" s="14">
        <v>30</v>
      </c>
      <c r="J22" s="14">
        <v>45</v>
      </c>
    </row>
    <row r="23" spans="1:10" ht="23.1" customHeight="1" x14ac:dyDescent="0.2">
      <c r="A23" s="12">
        <v>21</v>
      </c>
      <c r="B23" s="14" t="s">
        <v>8</v>
      </c>
      <c r="C23" s="14">
        <f t="shared" si="0"/>
        <v>121</v>
      </c>
      <c r="D23" s="14"/>
      <c r="E23" s="14">
        <v>76</v>
      </c>
      <c r="F23" s="14"/>
      <c r="G23" s="14"/>
      <c r="H23" s="14"/>
      <c r="I23" s="14"/>
      <c r="J23" s="14">
        <v>45</v>
      </c>
    </row>
    <row r="24" spans="1:10" ht="23.1" customHeight="1" x14ac:dyDescent="0.2">
      <c r="A24" s="12">
        <v>22</v>
      </c>
      <c r="B24" s="14" t="s">
        <v>70</v>
      </c>
      <c r="C24" s="14">
        <f t="shared" si="0"/>
        <v>385</v>
      </c>
      <c r="D24" s="14"/>
      <c r="E24" s="14"/>
      <c r="F24" s="14">
        <v>41</v>
      </c>
      <c r="G24" s="14"/>
      <c r="H24" s="14">
        <v>314</v>
      </c>
      <c r="I24" s="14">
        <v>30</v>
      </c>
      <c r="J24" s="14"/>
    </row>
    <row r="25" spans="1:10" ht="23.1" customHeight="1" x14ac:dyDescent="0.2">
      <c r="A25" s="12">
        <v>23</v>
      </c>
      <c r="B25" s="14" t="s">
        <v>71</v>
      </c>
      <c r="C25" s="14">
        <f t="shared" si="0"/>
        <v>169</v>
      </c>
      <c r="D25" s="14"/>
      <c r="E25" s="14"/>
      <c r="F25" s="14">
        <v>41</v>
      </c>
      <c r="G25" s="14">
        <v>53</v>
      </c>
      <c r="H25" s="14"/>
      <c r="I25" s="14">
        <v>30</v>
      </c>
      <c r="J25" s="14">
        <v>45</v>
      </c>
    </row>
    <row r="26" spans="1:10" ht="23.1" customHeight="1" x14ac:dyDescent="0.2">
      <c r="A26" s="12">
        <v>24</v>
      </c>
      <c r="B26" s="14" t="s">
        <v>72</v>
      </c>
      <c r="C26" s="14">
        <f t="shared" si="0"/>
        <v>41</v>
      </c>
      <c r="D26" s="14"/>
      <c r="E26" s="14"/>
      <c r="F26" s="14">
        <v>41</v>
      </c>
      <c r="G26" s="14"/>
      <c r="H26" s="14"/>
      <c r="I26" s="14"/>
      <c r="J26" s="14"/>
    </row>
    <row r="27" spans="1:10" ht="23.1" customHeight="1" x14ac:dyDescent="0.2">
      <c r="A27" s="12">
        <v>25</v>
      </c>
      <c r="B27" s="14" t="s">
        <v>73</v>
      </c>
      <c r="C27" s="14">
        <f t="shared" si="0"/>
        <v>41</v>
      </c>
      <c r="D27" s="14"/>
      <c r="E27" s="14"/>
      <c r="F27" s="14">
        <v>41</v>
      </c>
      <c r="G27" s="14"/>
      <c r="H27" s="14"/>
      <c r="I27" s="14"/>
      <c r="J27" s="14"/>
    </row>
    <row r="28" spans="1:10" ht="23.1" customHeight="1" x14ac:dyDescent="0.2">
      <c r="A28" s="12">
        <v>26</v>
      </c>
      <c r="B28" s="14" t="s">
        <v>74</v>
      </c>
      <c r="C28" s="14">
        <f t="shared" si="0"/>
        <v>169</v>
      </c>
      <c r="D28" s="14"/>
      <c r="E28" s="14"/>
      <c r="F28" s="14">
        <v>41</v>
      </c>
      <c r="G28" s="14">
        <v>53</v>
      </c>
      <c r="H28" s="14"/>
      <c r="I28" s="14">
        <v>30</v>
      </c>
      <c r="J28" s="14">
        <v>45</v>
      </c>
    </row>
    <row r="29" spans="1:10" ht="23.1" customHeight="1" x14ac:dyDescent="0.2">
      <c r="A29" s="12">
        <v>27</v>
      </c>
      <c r="B29" s="14" t="s">
        <v>75</v>
      </c>
      <c r="C29" s="14">
        <f t="shared" si="0"/>
        <v>98</v>
      </c>
      <c r="D29" s="14"/>
      <c r="E29" s="14"/>
      <c r="F29" s="14"/>
      <c r="G29" s="14">
        <v>53</v>
      </c>
      <c r="H29" s="14"/>
      <c r="I29" s="14"/>
      <c r="J29" s="14">
        <v>45</v>
      </c>
    </row>
    <row r="30" spans="1:10" ht="23.1" customHeight="1" x14ac:dyDescent="0.2">
      <c r="A30" s="12">
        <v>28</v>
      </c>
      <c r="B30" s="14" t="s">
        <v>76</v>
      </c>
      <c r="C30" s="14">
        <f t="shared" si="0"/>
        <v>442</v>
      </c>
      <c r="D30" s="14"/>
      <c r="E30" s="14"/>
      <c r="F30" s="14"/>
      <c r="G30" s="14">
        <v>53</v>
      </c>
      <c r="H30" s="14">
        <v>314</v>
      </c>
      <c r="I30" s="14">
        <v>30</v>
      </c>
      <c r="J30" s="14">
        <v>45</v>
      </c>
    </row>
    <row r="31" spans="1:10" ht="23.1" customHeight="1" x14ac:dyDescent="0.2">
      <c r="A31" s="12">
        <v>29</v>
      </c>
      <c r="B31" s="14" t="s">
        <v>3</v>
      </c>
      <c r="C31" s="14">
        <f t="shared" si="0"/>
        <v>389</v>
      </c>
      <c r="D31" s="14"/>
      <c r="E31" s="14"/>
      <c r="F31" s="14"/>
      <c r="G31" s="14"/>
      <c r="H31" s="14">
        <v>314</v>
      </c>
      <c r="I31" s="14">
        <v>30</v>
      </c>
      <c r="J31" s="14">
        <v>45</v>
      </c>
    </row>
    <row r="32" spans="1:10" ht="23.1" customHeight="1" x14ac:dyDescent="0.2">
      <c r="A32" s="12">
        <v>30</v>
      </c>
      <c r="B32" s="14" t="s">
        <v>77</v>
      </c>
      <c r="C32" s="14">
        <f t="shared" si="0"/>
        <v>389</v>
      </c>
      <c r="D32" s="14"/>
      <c r="E32" s="14"/>
      <c r="F32" s="14"/>
      <c r="G32" s="14"/>
      <c r="H32" s="14">
        <v>314</v>
      </c>
      <c r="I32" s="14">
        <v>30</v>
      </c>
      <c r="J32" s="14">
        <v>45</v>
      </c>
    </row>
    <row r="33" spans="1:10" ht="23.1" customHeight="1" x14ac:dyDescent="0.2">
      <c r="A33" s="12">
        <v>31</v>
      </c>
      <c r="B33" s="14" t="s">
        <v>78</v>
      </c>
      <c r="C33" s="14">
        <f t="shared" si="0"/>
        <v>389</v>
      </c>
      <c r="D33" s="14"/>
      <c r="E33" s="14"/>
      <c r="F33" s="14"/>
      <c r="G33" s="14"/>
      <c r="H33" s="14">
        <v>314</v>
      </c>
      <c r="I33" s="14">
        <v>30</v>
      </c>
      <c r="J33" s="14">
        <v>45</v>
      </c>
    </row>
    <row r="34" spans="1:10" ht="23.1" customHeight="1" x14ac:dyDescent="0.2">
      <c r="A34" s="12">
        <v>32</v>
      </c>
      <c r="B34" s="14" t="s">
        <v>79</v>
      </c>
      <c r="C34" s="14">
        <f t="shared" si="0"/>
        <v>389</v>
      </c>
      <c r="D34" s="14"/>
      <c r="E34" s="14"/>
      <c r="F34" s="14"/>
      <c r="G34" s="14"/>
      <c r="H34" s="14">
        <v>314</v>
      </c>
      <c r="I34" s="14">
        <v>30</v>
      </c>
      <c r="J34" s="14">
        <v>45</v>
      </c>
    </row>
    <row r="35" spans="1:10" ht="23.1" customHeight="1" x14ac:dyDescent="0.2">
      <c r="A35" s="12">
        <v>33</v>
      </c>
      <c r="B35" s="14" t="s">
        <v>80</v>
      </c>
      <c r="C35" s="14">
        <f t="shared" si="0"/>
        <v>389</v>
      </c>
      <c r="D35" s="14"/>
      <c r="E35" s="14"/>
      <c r="F35" s="14"/>
      <c r="G35" s="14"/>
      <c r="H35" s="14">
        <v>314</v>
      </c>
      <c r="I35" s="14">
        <v>30</v>
      </c>
      <c r="J35" s="14">
        <v>45</v>
      </c>
    </row>
    <row r="36" spans="1:10" ht="23.1" customHeight="1" x14ac:dyDescent="0.2">
      <c r="A36" s="12">
        <v>34</v>
      </c>
      <c r="B36" s="14" t="s">
        <v>81</v>
      </c>
      <c r="C36" s="14">
        <f t="shared" si="0"/>
        <v>30</v>
      </c>
      <c r="D36" s="14"/>
      <c r="E36" s="14"/>
      <c r="F36" s="14"/>
      <c r="G36" s="14"/>
      <c r="H36" s="14"/>
      <c r="I36" s="14">
        <v>30</v>
      </c>
      <c r="J36" s="14"/>
    </row>
    <row r="37" spans="1:10" ht="23.1" customHeight="1" x14ac:dyDescent="0.2">
      <c r="A37" s="12">
        <v>35</v>
      </c>
      <c r="B37" s="14" t="s">
        <v>82</v>
      </c>
      <c r="C37" s="14">
        <f t="shared" si="0"/>
        <v>30</v>
      </c>
      <c r="D37" s="14"/>
      <c r="E37" s="14"/>
      <c r="F37" s="14"/>
      <c r="G37" s="14"/>
      <c r="H37" s="14"/>
      <c r="I37" s="14">
        <v>30</v>
      </c>
      <c r="J37" s="14"/>
    </row>
    <row r="38" spans="1:10" ht="23.1" customHeight="1" x14ac:dyDescent="0.2">
      <c r="A38" s="12">
        <v>36</v>
      </c>
      <c r="B38" s="15" t="s">
        <v>83</v>
      </c>
      <c r="C38" s="14">
        <f t="shared" si="0"/>
        <v>30</v>
      </c>
      <c r="D38" s="15"/>
      <c r="E38" s="15"/>
      <c r="F38" s="15"/>
      <c r="G38" s="15"/>
      <c r="H38" s="15"/>
      <c r="I38" s="15">
        <v>30</v>
      </c>
      <c r="J38" s="14"/>
    </row>
    <row r="39" spans="1:10" ht="23.1" customHeight="1" x14ac:dyDescent="0.2">
      <c r="B39" s="16" t="s">
        <v>9</v>
      </c>
      <c r="C39" s="9">
        <f>SUM(C3:C38)</f>
        <v>9966</v>
      </c>
    </row>
  </sheetData>
  <phoneticPr fontId="1" type="noConversion"/>
  <conditionalFormatting sqref="B39:B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2026-09-14T07:58:43Z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