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rsonal\cqsj\payroll\2026\excel\"/>
    </mc:Choice>
  </mc:AlternateContent>
  <xr:revisionPtr revIDLastSave="0" documentId="13_ncr:1_{2D343F79-723D-44B5-9C40-42FFC09DD3AC}" xr6:coauthVersionLast="47" xr6:coauthVersionMax="47" xr10:uidLastSave="{00000000-0000-0000-0000-000000000000}"/>
  <bookViews>
    <workbookView xWindow="11250" yWindow="0" windowWidth="26880" windowHeight="20985" activeTab="1" xr2:uid="{7A907552-1C41-4484-ABB7-89D0B7E40110}"/>
  </bookViews>
  <sheets>
    <sheet name="产出" sheetId="4" r:id="rId1"/>
    <sheet name="分配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" i="1"/>
  <c r="D7" i="4"/>
  <c r="C33" i="1" l="1"/>
</calcChain>
</file>

<file path=xl/sharedStrings.xml><?xml version="1.0" encoding="utf-8"?>
<sst xmlns="http://schemas.openxmlformats.org/spreadsheetml/2006/main" count="67" uniqueCount="61">
  <si>
    <t>人员</t>
  </si>
  <si>
    <t>领取</t>
  </si>
  <si>
    <t>虹之间</t>
  </si>
  <si>
    <t>紫轩唐悦</t>
  </si>
  <si>
    <t>产出</t>
  </si>
  <si>
    <t>总人数</t>
  </si>
  <si>
    <t>行会账户A</t>
  </si>
  <si>
    <t>时间与地图</t>
  </si>
  <si>
    <t>总收入</t>
  </si>
  <si>
    <t>每人</t>
  </si>
  <si>
    <t>风云无情</t>
  </si>
  <si>
    <t>无悔</t>
  </si>
  <si>
    <t>皇族风</t>
  </si>
  <si>
    <t>舞动乾坤</t>
  </si>
  <si>
    <t>你好朋友</t>
  </si>
  <si>
    <t>惊鸿</t>
  </si>
  <si>
    <t>累计应发</t>
  </si>
  <si>
    <t>抚琴</t>
  </si>
  <si>
    <t>天地君</t>
  </si>
  <si>
    <t>空白系</t>
  </si>
  <si>
    <t>kk123</t>
  </si>
  <si>
    <t>清风揽小月</t>
  </si>
  <si>
    <t>法紫山</t>
  </si>
  <si>
    <t>桃白白</t>
  </si>
  <si>
    <t>17人</t>
  </si>
  <si>
    <t>鼻嗅爱</t>
  </si>
  <si>
    <t>子无恙</t>
  </si>
  <si>
    <t>无妄绝尘</t>
  </si>
  <si>
    <t>0926-0927 集体产出</t>
  </si>
  <si>
    <t>0926 - 1000 - 魔7</t>
  </si>
  <si>
    <t>行会账户A、如意吉祥(主会) # 虹之间、天地君、紫轩唐悦、鼻嗅爱、舞动乾坤、金水、清风揽小月、传说小胖、风云无情、Dean、28、无悔、与市无争、桃白白、皇族风、你好朋友</t>
  </si>
  <si>
    <t>35石头420通宝+600通宝（钢铁之驱）+3本书150=1170</t>
  </si>
  <si>
    <t>18人</t>
  </si>
  <si>
    <t>0926 - 1600 - 魔宫</t>
  </si>
  <si>
    <t>行会账户A、 鼻嗅爱、子无恙 # 舞动乾坤、皇族风、紫轩唐悦、金水、 &amp; 桃白白、花无双、 kk123、看淡浮尘、抚琴、传说小胖、天地君、无悔、与市无争、皇族酷</t>
  </si>
  <si>
    <t>累计54石头648+冰咆哮（50）+火雨50=748</t>
  </si>
  <si>
    <t>0927 - 1600 - 魔7</t>
  </si>
  <si>
    <t>行会账户A、# 花无双、传说小胖、鼻嗅爱、空白系、Dean、皇族酷、天地君、惊鸿、舞动乾坤、皇族风、抚琴、你好朋友、看淡浮尘、紫轩唐悦、</t>
  </si>
  <si>
    <t>28石头336通宝+150法神+150天尊+300强符掌+400祝福油=1336</t>
  </si>
  <si>
    <t>15人</t>
  </si>
  <si>
    <t>89(余1)</t>
  </si>
  <si>
    <t>(补)0919 - 2100 - 魔6,魔宫</t>
  </si>
  <si>
    <t>行会账户A、# 虹之间、花无双、无妄绝尘、空白系、舞动乾坤、幸福道人、传说小胖、法紫山、皇族风、紫轩唐悦、桃白白、风云无情、无悔、你好朋友、惊鸿、大虾</t>
  </si>
  <si>
    <t>累计身轻2499+144=2643</t>
  </si>
  <si>
    <r>
      <t>155(</t>
    </r>
    <r>
      <rPr>
        <sz val="12"/>
        <rFont val="微软雅黑"/>
        <family val="2"/>
        <charset val="134"/>
      </rPr>
      <t>余</t>
    </r>
    <r>
      <rPr>
        <sz val="12"/>
        <rFont val="Arial"/>
        <family val="2"/>
      </rPr>
      <t>8)</t>
    </r>
    <phoneticPr fontId="1" type="noConversion"/>
  </si>
  <si>
    <t>(余9)</t>
    <phoneticPr fontId="1" type="noConversion"/>
  </si>
  <si>
    <t>.</t>
    <phoneticPr fontId="1" type="noConversion"/>
  </si>
  <si>
    <t>合计</t>
    <phoneticPr fontId="1" type="noConversion"/>
  </si>
  <si>
    <t>如意吉祥(主会)</t>
  </si>
  <si>
    <t>金水</t>
  </si>
  <si>
    <t>传说小胖</t>
  </si>
  <si>
    <t>Dean</t>
  </si>
  <si>
    <t>与市无争</t>
  </si>
  <si>
    <t>花无双</t>
  </si>
  <si>
    <t>看淡浮尘</t>
  </si>
  <si>
    <t>皇族酷</t>
  </si>
  <si>
    <t>幸福道人</t>
  </si>
  <si>
    <t>大虾</t>
  </si>
  <si>
    <t>序号</t>
    <phoneticPr fontId="1" type="noConversion"/>
  </si>
  <si>
    <t>合计</t>
    <phoneticPr fontId="1" type="noConversion"/>
  </si>
  <si>
    <r>
      <t xml:space="preserve">0926-0927 </t>
    </r>
    <r>
      <rPr>
        <b/>
        <sz val="14"/>
        <rFont val="微软雅黑"/>
        <family val="2"/>
        <charset val="134"/>
      </rPr>
      <t>集体产出</t>
    </r>
    <r>
      <rPr>
        <b/>
        <sz val="14"/>
        <rFont val="Arial"/>
        <family val="2"/>
      </rPr>
      <t xml:space="preserve"> 5,897 ( </t>
    </r>
    <r>
      <rPr>
        <b/>
        <sz val="14"/>
        <rFont val="微软雅黑"/>
        <family val="2"/>
        <charset val="134"/>
      </rPr>
      <t>实际分配</t>
    </r>
    <r>
      <rPr>
        <b/>
        <sz val="14"/>
        <rFont val="Arial"/>
        <family val="2"/>
      </rPr>
      <t xml:space="preserve"> 5888 ) 
</t>
    </r>
    <r>
      <rPr>
        <b/>
        <sz val="14"/>
        <rFont val="微软雅黑"/>
        <family val="2"/>
        <charset val="134"/>
      </rPr>
      <t>行会账户</t>
    </r>
    <r>
      <rPr>
        <b/>
        <sz val="14"/>
        <rFont val="Arial"/>
        <family val="2"/>
      </rPr>
      <t xml:space="preserve">A </t>
    </r>
    <r>
      <rPr>
        <b/>
        <sz val="14"/>
        <rFont val="微软雅黑"/>
        <family val="2"/>
        <charset val="134"/>
      </rPr>
      <t>往期结存</t>
    </r>
    <r>
      <rPr>
        <b/>
        <sz val="14"/>
        <rFont val="Arial"/>
        <family val="2"/>
      </rPr>
      <t xml:space="preserve"> ( 4,801 + 114 - (96</t>
    </r>
    <r>
      <rPr>
        <b/>
        <sz val="14"/>
        <rFont val="微软雅黑"/>
        <family val="2"/>
        <charset val="134"/>
      </rPr>
      <t>补魔宫蒙山一道</t>
    </r>
    <r>
      <rPr>
        <b/>
        <sz val="14"/>
        <rFont val="Arial"/>
        <family val="2"/>
      </rPr>
      <t>) - 350(</t>
    </r>
    <r>
      <rPr>
        <b/>
        <sz val="14"/>
        <rFont val="微软雅黑"/>
        <family val="2"/>
        <charset val="134"/>
      </rPr>
      <t>抚补</t>
    </r>
    <r>
      <rPr>
        <b/>
        <sz val="14"/>
        <rFont val="Arial"/>
        <family val="2"/>
      </rPr>
      <t>) - 700(</t>
    </r>
    <r>
      <rPr>
        <b/>
        <sz val="14"/>
        <rFont val="微软雅黑"/>
        <family val="2"/>
        <charset val="134"/>
      </rPr>
      <t>桃补两周</t>
    </r>
    <r>
      <rPr>
        <b/>
        <sz val="14"/>
        <rFont val="Arial"/>
        <family val="2"/>
      </rPr>
      <t>) = 3,769 )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</si>
</sst>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name val="等线"/>
      <family val="2"/>
      <charset val="134"/>
      <scheme val="minor"/>
    </font>
    <font>
      <b/>
      <sz val="12"/>
      <name val="Arial"/>
      <family val="2"/>
    </font>
    <font>
      <sz val="12"/>
      <name val="等线"/>
      <family val="2"/>
      <charset val="134"/>
      <scheme val="minor"/>
    </font>
    <font>
      <sz val="12"/>
      <name val="Arial"/>
      <family val="2"/>
    </font>
    <font>
      <sz val="12"/>
      <name val="微软雅黑"/>
      <family val="2"/>
      <charset val="134"/>
    </font>
    <font>
      <b/>
      <sz val="14"/>
      <name val="等线"/>
      <family val="2"/>
      <charset val="134"/>
      <scheme val="minor"/>
    </font>
    <font>
      <b/>
      <sz val="14"/>
      <name val="Arial"/>
      <family val="2"/>
    </font>
    <font>
      <sz val="14"/>
      <name val="Arial"/>
      <family val="2"/>
    </font>
    <font>
      <b/>
      <sz val="14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393B40"/>
      </left>
      <right style="medium">
        <color rgb="FF393B40"/>
      </right>
      <top style="medium">
        <color rgb="FF393B40"/>
      </top>
      <bottom style="medium">
        <color rgb="FF393B40"/>
      </bottom>
      <diagonal/>
    </border>
    <border>
      <left/>
      <right/>
      <top/>
      <bottom style="medium">
        <color rgb="FF393B4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4" fillId="2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dimension ref="A1:F8"/>
  <sheetViews>
    <sheetView zoomScale="130" zoomScaleNormal="130" workbookViewId="0">
      <selection activeCell="I7" sqref="I7"/>
    </sheetView>
  </sheetViews>
  <sheetFormatPr defaultColWidth="8.625" defaultRowHeight="70.5" customHeight="1" x14ac:dyDescent="0.2"/>
  <cols>
    <col min="1" max="1" width="23" style="2" customWidth="1"/>
    <col min="2" max="2" width="47.375" style="1" customWidth="1"/>
    <col min="3" max="3" width="28" style="1" customWidth="1"/>
    <col min="4" max="4" width="12.875" style="1" customWidth="1"/>
    <col min="5" max="5" width="12.375" style="1" customWidth="1"/>
    <col min="6" max="6" width="10.625" style="1" customWidth="1"/>
    <col min="7" max="16384" width="8.625" style="1"/>
  </cols>
  <sheetData>
    <row r="1" spans="1:6" ht="27" customHeight="1" thickBot="1" x14ac:dyDescent="0.25">
      <c r="A1" s="3" t="s">
        <v>28</v>
      </c>
      <c r="B1" s="4"/>
      <c r="C1" s="4"/>
      <c r="D1" s="4"/>
      <c r="E1" s="4"/>
      <c r="F1" s="4"/>
    </row>
    <row r="2" spans="1:6" ht="70.5" customHeight="1" thickBot="1" x14ac:dyDescent="0.25">
      <c r="A2" s="5" t="s">
        <v>7</v>
      </c>
      <c r="B2" s="5" t="s">
        <v>0</v>
      </c>
      <c r="C2" s="5" t="s">
        <v>4</v>
      </c>
      <c r="D2" s="5" t="s">
        <v>8</v>
      </c>
      <c r="E2" s="5" t="s">
        <v>5</v>
      </c>
      <c r="F2" s="5" t="s">
        <v>9</v>
      </c>
    </row>
    <row r="3" spans="1:6" ht="70.5" customHeight="1" thickBot="1" x14ac:dyDescent="0.25">
      <c r="A3" s="6" t="s">
        <v>29</v>
      </c>
      <c r="B3" s="6" t="s">
        <v>30</v>
      </c>
      <c r="C3" s="6" t="s">
        <v>31</v>
      </c>
      <c r="D3" s="7">
        <v>1170</v>
      </c>
      <c r="E3" s="7" t="s">
        <v>32</v>
      </c>
      <c r="F3" s="7">
        <v>65</v>
      </c>
    </row>
    <row r="4" spans="1:6" ht="70.5" customHeight="1" thickBot="1" x14ac:dyDescent="0.25">
      <c r="A4" s="6" t="s">
        <v>33</v>
      </c>
      <c r="B4" s="6" t="s">
        <v>34</v>
      </c>
      <c r="C4" s="6" t="s">
        <v>35</v>
      </c>
      <c r="D4" s="7">
        <v>748</v>
      </c>
      <c r="E4" s="7" t="s">
        <v>24</v>
      </c>
      <c r="F4" s="7">
        <v>44</v>
      </c>
    </row>
    <row r="5" spans="1:6" ht="70.5" customHeight="1" thickBot="1" x14ac:dyDescent="0.25">
      <c r="A5" s="6" t="s">
        <v>36</v>
      </c>
      <c r="B5" s="6" t="s">
        <v>37</v>
      </c>
      <c r="C5" s="6" t="s">
        <v>38</v>
      </c>
      <c r="D5" s="7">
        <v>1336</v>
      </c>
      <c r="E5" s="7" t="s">
        <v>39</v>
      </c>
      <c r="F5" s="7" t="s">
        <v>40</v>
      </c>
    </row>
    <row r="6" spans="1:6" ht="70.5" customHeight="1" thickBot="1" x14ac:dyDescent="0.25">
      <c r="A6" s="6" t="s">
        <v>41</v>
      </c>
      <c r="B6" s="6" t="s">
        <v>42</v>
      </c>
      <c r="C6" s="6" t="s">
        <v>43</v>
      </c>
      <c r="D6" s="7">
        <v>2643</v>
      </c>
      <c r="E6" s="7" t="s">
        <v>24</v>
      </c>
      <c r="F6" s="7" t="s">
        <v>44</v>
      </c>
    </row>
    <row r="7" spans="1:6" ht="34.5" customHeight="1" x14ac:dyDescent="0.2">
      <c r="C7" s="2" t="s">
        <v>47</v>
      </c>
      <c r="D7" s="2">
        <f>SUM(D3:D6)</f>
        <v>5897</v>
      </c>
      <c r="E7" s="2"/>
      <c r="F7" s="2" t="s">
        <v>45</v>
      </c>
    </row>
    <row r="8" spans="1:6" ht="70.5" customHeight="1" x14ac:dyDescent="0.2">
      <c r="F8" s="1" t="s">
        <v>46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H33"/>
  <sheetViews>
    <sheetView tabSelected="1" zoomScaleNormal="100" workbookViewId="0">
      <selection activeCell="B1" sqref="B1:H1"/>
    </sheetView>
  </sheetViews>
  <sheetFormatPr defaultColWidth="21.75" defaultRowHeight="57.75" customHeight="1" x14ac:dyDescent="0.2"/>
  <cols>
    <col min="1" max="1" width="11.625" style="8" customWidth="1"/>
    <col min="2" max="2" width="17.25" style="9" customWidth="1"/>
    <col min="3" max="3" width="12.75" style="9" customWidth="1"/>
    <col min="4" max="4" width="9.75" style="9" customWidth="1"/>
    <col min="5" max="5" width="20.625" style="9" customWidth="1"/>
    <col min="6" max="6" width="21.25" style="9" customWidth="1"/>
    <col min="7" max="7" width="20" style="9" customWidth="1"/>
    <col min="8" max="8" width="29.125" style="9" customWidth="1"/>
    <col min="9" max="16384" width="21.75" style="9"/>
  </cols>
  <sheetData>
    <row r="1" spans="1:8" ht="57.75" customHeight="1" thickBot="1" x14ac:dyDescent="0.25">
      <c r="B1" s="13" t="s">
        <v>60</v>
      </c>
      <c r="C1" s="13"/>
      <c r="D1" s="13"/>
      <c r="E1" s="13"/>
      <c r="F1" s="13"/>
      <c r="G1" s="13"/>
      <c r="H1" s="13"/>
    </row>
    <row r="2" spans="1:8" ht="36" customHeight="1" thickBot="1" x14ac:dyDescent="0.25">
      <c r="A2" s="12" t="s">
        <v>58</v>
      </c>
      <c r="B2" s="10" t="s">
        <v>0</v>
      </c>
      <c r="C2" s="10" t="s">
        <v>16</v>
      </c>
      <c r="D2" s="10" t="s">
        <v>1</v>
      </c>
      <c r="E2" s="10" t="s">
        <v>29</v>
      </c>
      <c r="F2" s="10" t="s">
        <v>33</v>
      </c>
      <c r="G2" s="10" t="s">
        <v>36</v>
      </c>
      <c r="H2" s="10" t="s">
        <v>41</v>
      </c>
    </row>
    <row r="3" spans="1:8" ht="20.100000000000001" customHeight="1" thickBot="1" x14ac:dyDescent="0.25">
      <c r="A3" s="12">
        <v>1</v>
      </c>
      <c r="B3" s="11" t="s">
        <v>6</v>
      </c>
      <c r="C3" s="11">
        <f>E3+F3+G3+H3</f>
        <v>353</v>
      </c>
      <c r="D3" s="11"/>
      <c r="E3" s="11">
        <v>65</v>
      </c>
      <c r="F3" s="11">
        <v>44</v>
      </c>
      <c r="G3" s="11">
        <v>89</v>
      </c>
      <c r="H3" s="11">
        <v>155</v>
      </c>
    </row>
    <row r="4" spans="1:8" ht="20.100000000000001" customHeight="1" thickBot="1" x14ac:dyDescent="0.25">
      <c r="A4" s="12">
        <v>2</v>
      </c>
      <c r="B4" s="11" t="s">
        <v>48</v>
      </c>
      <c r="C4" s="11">
        <f t="shared" ref="C4:C32" si="0">E4+F4+G4+H4</f>
        <v>65</v>
      </c>
      <c r="D4" s="11"/>
      <c r="E4" s="11">
        <v>65</v>
      </c>
      <c r="F4" s="11"/>
      <c r="G4" s="11"/>
      <c r="H4" s="11"/>
    </row>
    <row r="5" spans="1:8" ht="20.100000000000001" customHeight="1" thickBot="1" x14ac:dyDescent="0.25">
      <c r="A5" s="12">
        <v>3</v>
      </c>
      <c r="B5" s="11" t="s">
        <v>2</v>
      </c>
      <c r="C5" s="11">
        <f t="shared" si="0"/>
        <v>220</v>
      </c>
      <c r="D5" s="11"/>
      <c r="E5" s="11">
        <v>65</v>
      </c>
      <c r="F5" s="11"/>
      <c r="G5" s="11"/>
      <c r="H5" s="11">
        <v>155</v>
      </c>
    </row>
    <row r="6" spans="1:8" ht="20.100000000000001" customHeight="1" thickBot="1" x14ac:dyDescent="0.25">
      <c r="A6" s="12">
        <v>4</v>
      </c>
      <c r="B6" s="11" t="s">
        <v>18</v>
      </c>
      <c r="C6" s="11">
        <f t="shared" si="0"/>
        <v>198</v>
      </c>
      <c r="D6" s="11"/>
      <c r="E6" s="11">
        <v>65</v>
      </c>
      <c r="F6" s="11">
        <v>44</v>
      </c>
      <c r="G6" s="11">
        <v>89</v>
      </c>
      <c r="H6" s="11"/>
    </row>
    <row r="7" spans="1:8" ht="20.100000000000001" customHeight="1" thickBot="1" x14ac:dyDescent="0.25">
      <c r="A7" s="12">
        <v>5</v>
      </c>
      <c r="B7" s="11" t="s">
        <v>3</v>
      </c>
      <c r="C7" s="11">
        <f t="shared" si="0"/>
        <v>353</v>
      </c>
      <c r="D7" s="11"/>
      <c r="E7" s="11">
        <v>65</v>
      </c>
      <c r="F7" s="11">
        <v>44</v>
      </c>
      <c r="G7" s="11">
        <v>89</v>
      </c>
      <c r="H7" s="11">
        <v>155</v>
      </c>
    </row>
    <row r="8" spans="1:8" ht="20.100000000000001" customHeight="1" thickBot="1" x14ac:dyDescent="0.25">
      <c r="A8" s="12">
        <v>6</v>
      </c>
      <c r="B8" s="11" t="s">
        <v>25</v>
      </c>
      <c r="C8" s="11">
        <f t="shared" si="0"/>
        <v>198</v>
      </c>
      <c r="D8" s="11"/>
      <c r="E8" s="11">
        <v>65</v>
      </c>
      <c r="F8" s="11">
        <v>44</v>
      </c>
      <c r="G8" s="11">
        <v>89</v>
      </c>
      <c r="H8" s="11"/>
    </row>
    <row r="9" spans="1:8" ht="20.100000000000001" customHeight="1" thickBot="1" x14ac:dyDescent="0.25">
      <c r="A9" s="12">
        <v>7</v>
      </c>
      <c r="B9" s="11" t="s">
        <v>13</v>
      </c>
      <c r="C9" s="11">
        <f t="shared" si="0"/>
        <v>353</v>
      </c>
      <c r="D9" s="11"/>
      <c r="E9" s="11">
        <v>65</v>
      </c>
      <c r="F9" s="11">
        <v>44</v>
      </c>
      <c r="G9" s="11">
        <v>89</v>
      </c>
      <c r="H9" s="11">
        <v>155</v>
      </c>
    </row>
    <row r="10" spans="1:8" ht="20.100000000000001" customHeight="1" thickBot="1" x14ac:dyDescent="0.25">
      <c r="A10" s="12">
        <v>8</v>
      </c>
      <c r="B10" s="11" t="s">
        <v>49</v>
      </c>
      <c r="C10" s="11">
        <f t="shared" si="0"/>
        <v>109</v>
      </c>
      <c r="D10" s="11"/>
      <c r="E10" s="11">
        <v>65</v>
      </c>
      <c r="F10" s="11">
        <v>44</v>
      </c>
      <c r="G10" s="11"/>
      <c r="H10" s="11"/>
    </row>
    <row r="11" spans="1:8" ht="20.100000000000001" customHeight="1" thickBot="1" x14ac:dyDescent="0.25">
      <c r="A11" s="12">
        <v>9</v>
      </c>
      <c r="B11" s="11" t="s">
        <v>21</v>
      </c>
      <c r="C11" s="11">
        <f t="shared" si="0"/>
        <v>65</v>
      </c>
      <c r="D11" s="11"/>
      <c r="E11" s="11">
        <v>65</v>
      </c>
      <c r="F11" s="11"/>
      <c r="G11" s="11"/>
      <c r="H11" s="11"/>
    </row>
    <row r="12" spans="1:8" ht="20.100000000000001" customHeight="1" thickBot="1" x14ac:dyDescent="0.25">
      <c r="A12" s="12">
        <v>10</v>
      </c>
      <c r="B12" s="11" t="s">
        <v>50</v>
      </c>
      <c r="C12" s="11">
        <f t="shared" si="0"/>
        <v>353</v>
      </c>
      <c r="D12" s="11"/>
      <c r="E12" s="11">
        <v>65</v>
      </c>
      <c r="F12" s="11">
        <v>44</v>
      </c>
      <c r="G12" s="11">
        <v>89</v>
      </c>
      <c r="H12" s="11">
        <v>155</v>
      </c>
    </row>
    <row r="13" spans="1:8" ht="20.100000000000001" customHeight="1" thickBot="1" x14ac:dyDescent="0.25">
      <c r="A13" s="12">
        <v>11</v>
      </c>
      <c r="B13" s="11" t="s">
        <v>10</v>
      </c>
      <c r="C13" s="11">
        <f t="shared" si="0"/>
        <v>220</v>
      </c>
      <c r="D13" s="11"/>
      <c r="E13" s="11">
        <v>65</v>
      </c>
      <c r="F13" s="11"/>
      <c r="G13" s="11"/>
      <c r="H13" s="11">
        <v>155</v>
      </c>
    </row>
    <row r="14" spans="1:8" ht="20.100000000000001" customHeight="1" thickBot="1" x14ac:dyDescent="0.25">
      <c r="A14" s="12">
        <v>12</v>
      </c>
      <c r="B14" s="11" t="s">
        <v>51</v>
      </c>
      <c r="C14" s="11">
        <f t="shared" si="0"/>
        <v>154</v>
      </c>
      <c r="D14" s="11"/>
      <c r="E14" s="11">
        <v>65</v>
      </c>
      <c r="F14" s="11"/>
      <c r="G14" s="11">
        <v>89</v>
      </c>
      <c r="H14" s="11"/>
    </row>
    <row r="15" spans="1:8" ht="20.100000000000001" customHeight="1" thickBot="1" x14ac:dyDescent="0.25">
      <c r="A15" s="12">
        <v>13</v>
      </c>
      <c r="B15" s="11">
        <v>28</v>
      </c>
      <c r="C15" s="11">
        <f t="shared" si="0"/>
        <v>65</v>
      </c>
      <c r="D15" s="11"/>
      <c r="E15" s="11">
        <v>65</v>
      </c>
      <c r="F15" s="11"/>
      <c r="G15" s="11"/>
      <c r="H15" s="11"/>
    </row>
    <row r="16" spans="1:8" ht="20.100000000000001" customHeight="1" thickBot="1" x14ac:dyDescent="0.25">
      <c r="A16" s="12">
        <v>14</v>
      </c>
      <c r="B16" s="11" t="s">
        <v>11</v>
      </c>
      <c r="C16" s="11">
        <f t="shared" si="0"/>
        <v>264</v>
      </c>
      <c r="D16" s="11"/>
      <c r="E16" s="11">
        <v>65</v>
      </c>
      <c r="F16" s="11">
        <v>44</v>
      </c>
      <c r="G16" s="11"/>
      <c r="H16" s="11">
        <v>155</v>
      </c>
    </row>
    <row r="17" spans="1:8" ht="20.100000000000001" customHeight="1" thickBot="1" x14ac:dyDescent="0.25">
      <c r="A17" s="12">
        <v>15</v>
      </c>
      <c r="B17" s="11" t="s">
        <v>52</v>
      </c>
      <c r="C17" s="11">
        <f t="shared" si="0"/>
        <v>109</v>
      </c>
      <c r="D17" s="11"/>
      <c r="E17" s="11">
        <v>65</v>
      </c>
      <c r="F17" s="11">
        <v>44</v>
      </c>
      <c r="G17" s="11"/>
      <c r="H17" s="11"/>
    </row>
    <row r="18" spans="1:8" ht="20.100000000000001" customHeight="1" thickBot="1" x14ac:dyDescent="0.25">
      <c r="A18" s="12">
        <v>16</v>
      </c>
      <c r="B18" s="11" t="s">
        <v>12</v>
      </c>
      <c r="C18" s="11">
        <f t="shared" si="0"/>
        <v>353</v>
      </c>
      <c r="D18" s="11"/>
      <c r="E18" s="11">
        <v>65</v>
      </c>
      <c r="F18" s="11">
        <v>44</v>
      </c>
      <c r="G18" s="11">
        <v>89</v>
      </c>
      <c r="H18" s="11">
        <v>155</v>
      </c>
    </row>
    <row r="19" spans="1:8" ht="20.100000000000001" customHeight="1" thickBot="1" x14ac:dyDescent="0.25">
      <c r="A19" s="12">
        <v>17</v>
      </c>
      <c r="B19" s="11" t="s">
        <v>14</v>
      </c>
      <c r="C19" s="11">
        <f t="shared" si="0"/>
        <v>309</v>
      </c>
      <c r="D19" s="11"/>
      <c r="E19" s="11">
        <v>65</v>
      </c>
      <c r="F19" s="11"/>
      <c r="G19" s="11">
        <v>89</v>
      </c>
      <c r="H19" s="11">
        <v>155</v>
      </c>
    </row>
    <row r="20" spans="1:8" ht="20.100000000000001" customHeight="1" thickBot="1" x14ac:dyDescent="0.25">
      <c r="A20" s="12">
        <v>18</v>
      </c>
      <c r="B20" s="11" t="s">
        <v>26</v>
      </c>
      <c r="C20" s="11">
        <f t="shared" si="0"/>
        <v>44</v>
      </c>
      <c r="D20" s="11"/>
      <c r="E20" s="11"/>
      <c r="F20" s="11">
        <v>44</v>
      </c>
      <c r="G20" s="11"/>
      <c r="H20" s="11"/>
    </row>
    <row r="21" spans="1:8" ht="20.100000000000001" customHeight="1" thickBot="1" x14ac:dyDescent="0.25">
      <c r="A21" s="12">
        <v>19</v>
      </c>
      <c r="B21" s="11" t="s">
        <v>19</v>
      </c>
      <c r="C21" s="11">
        <f t="shared" si="0"/>
        <v>244</v>
      </c>
      <c r="D21" s="11"/>
      <c r="E21" s="11"/>
      <c r="F21" s="11"/>
      <c r="G21" s="11">
        <v>89</v>
      </c>
      <c r="H21" s="11">
        <v>155</v>
      </c>
    </row>
    <row r="22" spans="1:8" ht="20.100000000000001" customHeight="1" thickBot="1" x14ac:dyDescent="0.25">
      <c r="A22" s="12">
        <v>20</v>
      </c>
      <c r="B22" s="11" t="s">
        <v>23</v>
      </c>
      <c r="C22" s="11">
        <f t="shared" si="0"/>
        <v>264</v>
      </c>
      <c r="D22" s="11"/>
      <c r="E22" s="11">
        <v>65</v>
      </c>
      <c r="F22" s="11">
        <v>44</v>
      </c>
      <c r="G22" s="11"/>
      <c r="H22" s="11">
        <v>155</v>
      </c>
    </row>
    <row r="23" spans="1:8" ht="20.100000000000001" customHeight="1" thickBot="1" x14ac:dyDescent="0.25">
      <c r="A23" s="12">
        <v>21</v>
      </c>
      <c r="B23" s="11" t="s">
        <v>53</v>
      </c>
      <c r="C23" s="11">
        <f t="shared" si="0"/>
        <v>288</v>
      </c>
      <c r="D23" s="11"/>
      <c r="E23" s="11"/>
      <c r="F23" s="11">
        <v>44</v>
      </c>
      <c r="G23" s="11">
        <v>89</v>
      </c>
      <c r="H23" s="11">
        <v>155</v>
      </c>
    </row>
    <row r="24" spans="1:8" ht="20.100000000000001" customHeight="1" thickBot="1" x14ac:dyDescent="0.25">
      <c r="A24" s="12">
        <v>22</v>
      </c>
      <c r="B24" s="11" t="s">
        <v>20</v>
      </c>
      <c r="C24" s="11">
        <f t="shared" si="0"/>
        <v>44</v>
      </c>
      <c r="D24" s="11"/>
      <c r="E24" s="11"/>
      <c r="F24" s="11">
        <v>44</v>
      </c>
      <c r="G24" s="11"/>
      <c r="H24" s="11"/>
    </row>
    <row r="25" spans="1:8" ht="20.100000000000001" customHeight="1" thickBot="1" x14ac:dyDescent="0.25">
      <c r="A25" s="12">
        <v>23</v>
      </c>
      <c r="B25" s="11" t="s">
        <v>54</v>
      </c>
      <c r="C25" s="11">
        <f t="shared" si="0"/>
        <v>133</v>
      </c>
      <c r="D25" s="11"/>
      <c r="E25" s="11"/>
      <c r="F25" s="11">
        <v>44</v>
      </c>
      <c r="G25" s="11">
        <v>89</v>
      </c>
      <c r="H25" s="11"/>
    </row>
    <row r="26" spans="1:8" ht="20.100000000000001" customHeight="1" thickBot="1" x14ac:dyDescent="0.25">
      <c r="A26" s="12">
        <v>24</v>
      </c>
      <c r="B26" s="11" t="s">
        <v>17</v>
      </c>
      <c r="C26" s="11">
        <f t="shared" si="0"/>
        <v>133</v>
      </c>
      <c r="D26" s="11"/>
      <c r="E26" s="11"/>
      <c r="F26" s="11">
        <v>44</v>
      </c>
      <c r="G26" s="11">
        <v>89</v>
      </c>
      <c r="H26" s="11"/>
    </row>
    <row r="27" spans="1:8" ht="20.100000000000001" customHeight="1" thickBot="1" x14ac:dyDescent="0.25">
      <c r="A27" s="12">
        <v>25</v>
      </c>
      <c r="B27" s="11" t="s">
        <v>55</v>
      </c>
      <c r="C27" s="11">
        <f t="shared" si="0"/>
        <v>133</v>
      </c>
      <c r="D27" s="11"/>
      <c r="E27" s="11"/>
      <c r="F27" s="11">
        <v>44</v>
      </c>
      <c r="G27" s="11">
        <v>89</v>
      </c>
      <c r="H27" s="11"/>
    </row>
    <row r="28" spans="1:8" ht="20.100000000000001" customHeight="1" thickBot="1" x14ac:dyDescent="0.25">
      <c r="A28" s="12">
        <v>26</v>
      </c>
      <c r="B28" s="11" t="s">
        <v>15</v>
      </c>
      <c r="C28" s="11">
        <f t="shared" si="0"/>
        <v>244</v>
      </c>
      <c r="D28" s="11"/>
      <c r="E28" s="11"/>
      <c r="F28" s="11"/>
      <c r="G28" s="11">
        <v>89</v>
      </c>
      <c r="H28" s="11">
        <v>155</v>
      </c>
    </row>
    <row r="29" spans="1:8" ht="20.100000000000001" customHeight="1" thickBot="1" x14ac:dyDescent="0.25">
      <c r="A29" s="12">
        <v>27</v>
      </c>
      <c r="B29" s="11" t="s">
        <v>27</v>
      </c>
      <c r="C29" s="11">
        <f t="shared" si="0"/>
        <v>155</v>
      </c>
      <c r="D29" s="11"/>
      <c r="E29" s="11"/>
      <c r="F29" s="11"/>
      <c r="G29" s="11"/>
      <c r="H29" s="11">
        <v>155</v>
      </c>
    </row>
    <row r="30" spans="1:8" ht="20.100000000000001" customHeight="1" thickBot="1" x14ac:dyDescent="0.25">
      <c r="A30" s="12">
        <v>28</v>
      </c>
      <c r="B30" s="11" t="s">
        <v>56</v>
      </c>
      <c r="C30" s="11">
        <f t="shared" si="0"/>
        <v>155</v>
      </c>
      <c r="D30" s="11"/>
      <c r="E30" s="11"/>
      <c r="F30" s="11"/>
      <c r="G30" s="11"/>
      <c r="H30" s="11">
        <v>155</v>
      </c>
    </row>
    <row r="31" spans="1:8" ht="20.100000000000001" customHeight="1" thickBot="1" x14ac:dyDescent="0.25">
      <c r="A31" s="12">
        <v>29</v>
      </c>
      <c r="B31" s="11" t="s">
        <v>22</v>
      </c>
      <c r="C31" s="11">
        <f t="shared" si="0"/>
        <v>155</v>
      </c>
      <c r="D31" s="11"/>
      <c r="E31" s="11"/>
      <c r="F31" s="11"/>
      <c r="G31" s="11"/>
      <c r="H31" s="11">
        <v>155</v>
      </c>
    </row>
    <row r="32" spans="1:8" ht="20.100000000000001" customHeight="1" thickBot="1" x14ac:dyDescent="0.25">
      <c r="A32" s="12">
        <v>30</v>
      </c>
      <c r="B32" s="11" t="s">
        <v>57</v>
      </c>
      <c r="C32" s="11">
        <f t="shared" si="0"/>
        <v>155</v>
      </c>
      <c r="D32" s="11"/>
      <c r="E32" s="11"/>
      <c r="F32" s="11"/>
      <c r="G32" s="11"/>
      <c r="H32" s="11">
        <v>155</v>
      </c>
    </row>
    <row r="33" spans="2:3" ht="34.5" customHeight="1" x14ac:dyDescent="0.2">
      <c r="B33" s="8" t="s">
        <v>59</v>
      </c>
      <c r="C33" s="8">
        <f>SUM(C3:C32)</f>
        <v>5888</v>
      </c>
    </row>
  </sheetData>
  <mergeCells count="1">
    <mergeCell ref="B1:H1"/>
  </mergeCells>
  <phoneticPr fontId="1" type="noConversion"/>
  <conditionalFormatting sqref="B33:B1048576">
    <cfRule type="duplicateValues" dxfId="4" priority="17"/>
    <cfRule type="duplicateValues" dxfId="3" priority="18"/>
    <cfRule type="duplicateValues" dxfId="2" priority="19"/>
    <cfRule type="duplicateValues" dxfId="1" priority="20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产出</vt:lpstr>
      <vt:lpstr>分配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卢宝强</cp:lastModifiedBy>
  <dcterms:created xsi:type="dcterms:W3CDTF">2026-08-08T11:54:16Z</dcterms:created>
  <dcterms:modified xsi:type="dcterms:W3CDTF">2026-09-28T10:09:50Z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00c6d252-9c42-4168-98e2-8e077f41f922</vt:lpwstr>
  </property>
</Properties>
</file>