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rsonal\cqsj\payroll\2026\excel\"/>
    </mc:Choice>
  </mc:AlternateContent>
  <xr:revisionPtr revIDLastSave="0" documentId="13_ncr:1_{E5F02690-E7CD-4FF2-B6E6-83A05522FE74}" xr6:coauthVersionLast="47" xr6:coauthVersionMax="47" xr10:uidLastSave="{00000000-0000-0000-0000-000000000000}"/>
  <bookViews>
    <workbookView xWindow="-120" yWindow="-120" windowWidth="51840" windowHeight="21120" xr2:uid="{7A907552-1C41-4484-ABB7-89D0B7E40110}"/>
  </bookViews>
  <sheets>
    <sheet name="产出" sheetId="4" r:id="rId1"/>
    <sheet name="分配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" i="1" l="1"/>
  <c r="C38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" i="1"/>
  <c r="D11" i="4"/>
</calcChain>
</file>

<file path=xl/sharedStrings.xml><?xml version="1.0" encoding="utf-8"?>
<sst xmlns="http://schemas.openxmlformats.org/spreadsheetml/2006/main" count="97" uniqueCount="86">
  <si>
    <t>人员</t>
  </si>
  <si>
    <t>领取</t>
  </si>
  <si>
    <t>法紫山</t>
  </si>
  <si>
    <t>虹之间</t>
  </si>
  <si>
    <t>大虾</t>
  </si>
  <si>
    <t>紫轩唐悦</t>
  </si>
  <si>
    <t>产出</t>
  </si>
  <si>
    <t>总人数</t>
  </si>
  <si>
    <t>行会账户A</t>
  </si>
  <si>
    <t>子无恙</t>
  </si>
  <si>
    <t>传说小胖</t>
  </si>
  <si>
    <t>大钢棒</t>
  </si>
  <si>
    <t>时间与地图</t>
  </si>
  <si>
    <t>总收入</t>
  </si>
  <si>
    <t>每人</t>
  </si>
  <si>
    <t>风云无情</t>
  </si>
  <si>
    <t>无悔</t>
  </si>
  <si>
    <t>皇族风</t>
  </si>
  <si>
    <t>鼻嗅爱</t>
  </si>
  <si>
    <t>申妙彤</t>
  </si>
  <si>
    <t>舞动乾坤</t>
  </si>
  <si>
    <t>花无双</t>
  </si>
  <si>
    <t>你好朋友</t>
  </si>
  <si>
    <t>与市无争</t>
  </si>
  <si>
    <t>15人</t>
  </si>
  <si>
    <t>惊鸿</t>
  </si>
  <si>
    <t>Dean</t>
  </si>
  <si>
    <t>桃白白</t>
  </si>
  <si>
    <t>18人</t>
  </si>
  <si>
    <t>累计应发</t>
  </si>
  <si>
    <t>趴下</t>
  </si>
  <si>
    <t>躺下</t>
  </si>
  <si>
    <t>抚琴</t>
  </si>
  <si>
    <t>胡萝卜</t>
  </si>
  <si>
    <t>朱沅</t>
  </si>
  <si>
    <t>天地君</t>
  </si>
  <si>
    <t>蒙山一道</t>
  </si>
  <si>
    <t>空白系</t>
  </si>
  <si>
    <t>皇族酷</t>
  </si>
  <si>
    <t>幸福道人</t>
  </si>
  <si>
    <t>无妄绝尘</t>
  </si>
  <si>
    <t>0918-0919 集体产出</t>
  </si>
  <si>
    <t>0918 - 1000 - 魔7</t>
  </si>
  <si>
    <t>行会账户A、 趴下、 天地君、 传说小胖、 如意吉祥、 蒙山一道 # 28、 抚琴、 大钢棒、 鼻嗅爱、 胡萝卜、 紫轩唐悦、 惊鸿、 看淡浮尘、 花无双、 法紫山、 皇族风、 皇族酷、 虹之间、 申妙彤、 子无恙、 你好朋友、 大虾、 风云无情、 舞动乾坤、 无悔</t>
  </si>
  <si>
    <t>累计出产：9点405+885=1290通宝+雷霆剑</t>
  </si>
  <si>
    <t>26人</t>
  </si>
  <si>
    <t>49(余16)</t>
  </si>
  <si>
    <t>0918 - 1600 - 魔7</t>
  </si>
  <si>
    <t>行会账户A、 空白系、 舞动乾坤、 # 法紫山、 你好朋友、 子无恙、 天地君、 抚琴、 传说小胖、 无悔、 大钢棒、 如意吉祥、 鼻嗅爱、 皇族风、 大虾、 紫轩唐悦</t>
  </si>
  <si>
    <t>510+1400龙文+天尊项链150+14石头210=2270通宝+钢铁之驱+雷霆剑</t>
  </si>
  <si>
    <t>16人</t>
  </si>
  <si>
    <t>141(余14)</t>
  </si>
  <si>
    <t>0918 - 2100 - 魔6</t>
  </si>
  <si>
    <t>行会账户A、 虹之间、 # 紫轩唐悦 、 你好朋友、 桃白白、 花无双、 天地君、 Dean、 空白系、 看淡浮尘、 大钢棒、 舞动乾坤、 幸福道人、 传说小胖、 与市无争、 惊鸿</t>
  </si>
  <si>
    <t>累计产出：30+18点105、+8点15+9点15石头225=375通宝+烈火剑法(350)、灼烧</t>
  </si>
  <si>
    <t>45(余5)</t>
  </si>
  <si>
    <t>0919 - 1000 - 魔7</t>
  </si>
  <si>
    <t>行会账户A、 kk123、 紫轩唐悦、 躺下、 # 大钢棒、 朱沅、 子无恙、 28、 抚琴、 花无双、 虹之间、 看淡浮沉、 法紫山、 桃白白、 申妙彤、 Dean、 舞动乾坤、 风云无情、 无悔、 天地君、 你好朋友、 皇族风、 与市无争</t>
  </si>
  <si>
    <t>9点绑石90+65+ 3600总会分=3755 + 50 = 3805</t>
  </si>
  <si>
    <t>23人</t>
  </si>
  <si>
    <t>165(余10)</t>
  </si>
  <si>
    <t>0919 - 1600 - 魔7</t>
  </si>
  <si>
    <t>行会账户A、 桃白白、 皇族风 、 # 无悔、 花无双、 鼻嗅爱、 紫轩唐悦、 28、 天地君、 与市无争、 舞动乾坤、 抚琴、 蒙山一道、 Dean、 看淡浮尘、 空白系、 惊鸿、 你好朋友</t>
  </si>
  <si>
    <t>433通宝+烈火剑法(350) = 783</t>
  </si>
  <si>
    <t>43(余9)</t>
  </si>
  <si>
    <t>0919 - 1700 - 魔宫</t>
  </si>
  <si>
    <t>行会账户A、 Dean、 空白系、 紫轩唐悦、 看淡浮尘、 烟花易冷、 与市无争、 花无双、 抚琴、 鼻嗅爱(冯夏青)、 28、 天地君、 舞动乾坤、 皇族酷、 惊鸿</t>
  </si>
  <si>
    <t>21石头273+钢铁之躯（80）、强化战神之姿（1800）、鹰眼（1800）、群体治疗（200）、白金戒指 合计：4179</t>
  </si>
  <si>
    <t>278(余9)</t>
  </si>
  <si>
    <t>0919 - 1800 - 魔6</t>
  </si>
  <si>
    <t>行会账户A、 花无双， 无妄绝尘、 # 鼻嗅爱、 你好朋友、 风云无情、 无悔、 申妙彤、 桃白白、 子无恙</t>
  </si>
  <si>
    <t>321 + 两个次逆魔(52) = 373</t>
  </si>
  <si>
    <t>10人</t>
  </si>
  <si>
    <t>37(余3)</t>
  </si>
  <si>
    <t>0919 - 2100 - 魔6</t>
  </si>
  <si>
    <t>行会账户A、 鼻嗅爱 、# 虹之间、 花无双、 无妄绝尘、 空白系、 舞动乾坤、 幸福道人、 传说小胖、 法紫山、 皇族风、 紫轩唐悦、 桃白白、 风云无情、 无悔、 你好朋友、 惊鸿 、大虾</t>
  </si>
  <si>
    <t>125+48+60 = 233</t>
  </si>
  <si>
    <r>
      <t>12(</t>
    </r>
    <r>
      <rPr>
        <sz val="12"/>
        <color theme="1"/>
        <rFont val="微软雅黑"/>
        <family val="2"/>
        <charset val="134"/>
      </rPr>
      <t>余</t>
    </r>
    <r>
      <rPr>
        <sz val="12"/>
        <color theme="1"/>
        <rFont val="Arial"/>
        <family val="2"/>
      </rPr>
      <t>17)</t>
    </r>
    <phoneticPr fontId="1" type="noConversion"/>
  </si>
  <si>
    <t>合计</t>
    <phoneticPr fontId="1" type="noConversion"/>
  </si>
  <si>
    <t>(余83)</t>
    <phoneticPr fontId="1" type="noConversion"/>
  </si>
  <si>
    <t>0918-0919 集体产出 xxx ( 实际分配 xxx ) 行会账户A 往期结存 ( 4128 + 168 - 500 (行会库存石头因市场价格走低产生损失) = 3796)</t>
  </si>
  <si>
    <t>如意吉祥</t>
  </si>
  <si>
    <t>看淡浮尘</t>
  </si>
  <si>
    <t>kk123</t>
  </si>
  <si>
    <t>烟花易冷</t>
  </si>
  <si>
    <t>合计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</si>
</sst>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等线"/>
      <family val="2"/>
      <charset val="134"/>
      <scheme val="minor"/>
    </font>
    <font>
      <b/>
      <sz val="12"/>
      <color theme="1"/>
      <name val="Arial"/>
      <family val="2"/>
    </font>
    <font>
      <sz val="12"/>
      <color theme="1"/>
      <name val="等线"/>
      <family val="2"/>
      <charset val="134"/>
      <scheme val="minor"/>
    </font>
    <font>
      <sz val="12"/>
      <color theme="1"/>
      <name val="微软雅黑"/>
      <family val="2"/>
      <charset val="134"/>
    </font>
    <font>
      <b/>
      <sz val="19.8"/>
      <color theme="1"/>
      <name val="Arial"/>
      <family val="2"/>
    </font>
    <font>
      <b/>
      <sz val="15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393B40"/>
      </left>
      <right style="medium">
        <color rgb="FF393B40"/>
      </right>
      <top style="medium">
        <color rgb="FF393B40"/>
      </top>
      <bottom style="medium">
        <color rgb="FF393B40"/>
      </bottom>
      <diagonal/>
    </border>
    <border>
      <left/>
      <right/>
      <top/>
      <bottom style="medium">
        <color rgb="FF393B40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0" xfId="0" applyFont="1" applyFill="1">
      <alignment vertical="center"/>
    </xf>
    <xf numFmtId="0" fontId="7" fillId="2" borderId="0" xfId="0" applyFont="1" applyFill="1" applyAlignment="1">
      <alignment vertical="center" wrapText="1"/>
    </xf>
    <xf numFmtId="0" fontId="8" fillId="2" borderId="0" xfId="0" applyFont="1" applyFill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F95F-EA74-43A5-A376-2227057FAFA5}">
  <dimension ref="A1:F11"/>
  <sheetViews>
    <sheetView tabSelected="1" zoomScale="130" zoomScaleNormal="130" workbookViewId="0">
      <selection activeCell="K9" sqref="K9"/>
    </sheetView>
  </sheetViews>
  <sheetFormatPr defaultColWidth="8.625" defaultRowHeight="15.75" x14ac:dyDescent="0.2"/>
  <cols>
    <col min="1" max="1" width="23" style="11" customWidth="1"/>
    <col min="2" max="2" width="45.625" style="7" customWidth="1"/>
    <col min="3" max="3" width="28" style="7" customWidth="1"/>
    <col min="4" max="4" width="12.875" style="7" customWidth="1"/>
    <col min="5" max="5" width="12.375" style="7" customWidth="1"/>
    <col min="6" max="6" width="10.625" style="7" customWidth="1"/>
    <col min="7" max="16384" width="8.625" style="7"/>
  </cols>
  <sheetData>
    <row r="1" spans="1:6" ht="18.75" customHeight="1" thickBot="1" x14ac:dyDescent="0.25">
      <c r="A1" s="8" t="s">
        <v>41</v>
      </c>
      <c r="B1" s="9"/>
      <c r="C1" s="9"/>
      <c r="D1" s="9"/>
      <c r="E1" s="9"/>
      <c r="F1" s="9"/>
    </row>
    <row r="2" spans="1:6" ht="16.5" thickBot="1" x14ac:dyDescent="0.25">
      <c r="A2" s="10" t="s">
        <v>12</v>
      </c>
      <c r="B2" s="10" t="s">
        <v>0</v>
      </c>
      <c r="C2" s="10" t="s">
        <v>6</v>
      </c>
      <c r="D2" s="10" t="s">
        <v>13</v>
      </c>
      <c r="E2" s="10" t="s">
        <v>7</v>
      </c>
      <c r="F2" s="10" t="s">
        <v>14</v>
      </c>
    </row>
    <row r="3" spans="1:6" ht="60" customHeight="1" thickBot="1" x14ac:dyDescent="0.25">
      <c r="A3" s="5" t="s">
        <v>42</v>
      </c>
      <c r="B3" s="5" t="s">
        <v>43</v>
      </c>
      <c r="C3" s="5" t="s">
        <v>44</v>
      </c>
      <c r="D3" s="6">
        <v>1290</v>
      </c>
      <c r="E3" s="6" t="s">
        <v>45</v>
      </c>
      <c r="F3" s="6" t="s">
        <v>46</v>
      </c>
    </row>
    <row r="4" spans="1:6" ht="60" customHeight="1" thickBot="1" x14ac:dyDescent="0.25">
      <c r="A4" s="5" t="s">
        <v>47</v>
      </c>
      <c r="B4" s="5" t="s">
        <v>48</v>
      </c>
      <c r="C4" s="5" t="s">
        <v>49</v>
      </c>
      <c r="D4" s="6">
        <v>2270</v>
      </c>
      <c r="E4" s="6" t="s">
        <v>50</v>
      </c>
      <c r="F4" s="6" t="s">
        <v>51</v>
      </c>
    </row>
    <row r="5" spans="1:6" ht="60" customHeight="1" thickBot="1" x14ac:dyDescent="0.25">
      <c r="A5" s="5" t="s">
        <v>52</v>
      </c>
      <c r="B5" s="5" t="s">
        <v>53</v>
      </c>
      <c r="C5" s="5" t="s">
        <v>54</v>
      </c>
      <c r="D5" s="6">
        <v>725</v>
      </c>
      <c r="E5" s="6" t="s">
        <v>50</v>
      </c>
      <c r="F5" s="6" t="s">
        <v>55</v>
      </c>
    </row>
    <row r="6" spans="1:6" ht="60" customHeight="1" thickBot="1" x14ac:dyDescent="0.25">
      <c r="A6" s="5" t="s">
        <v>56</v>
      </c>
      <c r="B6" s="5" t="s">
        <v>57</v>
      </c>
      <c r="C6" s="5" t="s">
        <v>58</v>
      </c>
      <c r="D6" s="6">
        <v>3805</v>
      </c>
      <c r="E6" s="6" t="s">
        <v>59</v>
      </c>
      <c r="F6" s="6" t="s">
        <v>60</v>
      </c>
    </row>
    <row r="7" spans="1:6" ht="60" customHeight="1" thickBot="1" x14ac:dyDescent="0.25">
      <c r="A7" s="5" t="s">
        <v>61</v>
      </c>
      <c r="B7" s="5" t="s">
        <v>62</v>
      </c>
      <c r="C7" s="5" t="s">
        <v>63</v>
      </c>
      <c r="D7" s="6">
        <v>783</v>
      </c>
      <c r="E7" s="6" t="s">
        <v>28</v>
      </c>
      <c r="F7" s="6" t="s">
        <v>64</v>
      </c>
    </row>
    <row r="8" spans="1:6" ht="60" customHeight="1" thickBot="1" x14ac:dyDescent="0.25">
      <c r="A8" s="5" t="s">
        <v>65</v>
      </c>
      <c r="B8" s="5" t="s">
        <v>66</v>
      </c>
      <c r="C8" s="5" t="s">
        <v>67</v>
      </c>
      <c r="D8" s="6">
        <v>4179</v>
      </c>
      <c r="E8" s="6" t="s">
        <v>24</v>
      </c>
      <c r="F8" s="6" t="s">
        <v>68</v>
      </c>
    </row>
    <row r="9" spans="1:6" ht="60" customHeight="1" thickBot="1" x14ac:dyDescent="0.25">
      <c r="A9" s="5" t="s">
        <v>69</v>
      </c>
      <c r="B9" s="5" t="s">
        <v>70</v>
      </c>
      <c r="C9" s="5" t="s">
        <v>71</v>
      </c>
      <c r="D9" s="6">
        <v>373</v>
      </c>
      <c r="E9" s="6" t="s">
        <v>72</v>
      </c>
      <c r="F9" s="6" t="s">
        <v>73</v>
      </c>
    </row>
    <row r="10" spans="1:6" ht="60" customHeight="1" thickBot="1" x14ac:dyDescent="0.25">
      <c r="A10" s="5" t="s">
        <v>74</v>
      </c>
      <c r="B10" s="5" t="s">
        <v>75</v>
      </c>
      <c r="C10" s="5" t="s">
        <v>76</v>
      </c>
      <c r="D10" s="6">
        <v>233</v>
      </c>
      <c r="E10" s="6" t="s">
        <v>28</v>
      </c>
      <c r="F10" s="6" t="s">
        <v>77</v>
      </c>
    </row>
    <row r="11" spans="1:6" x14ac:dyDescent="0.2">
      <c r="C11" s="11" t="s">
        <v>78</v>
      </c>
      <c r="D11" s="11">
        <f>SUM(D3:D10)</f>
        <v>13658</v>
      </c>
      <c r="F11" s="11" t="s">
        <v>79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A64F-2994-4A17-8B67-4FDBD51AF35E}">
  <dimension ref="A1:M39"/>
  <sheetViews>
    <sheetView zoomScaleNormal="100" workbookViewId="0">
      <selection activeCell="P29" sqref="P29"/>
    </sheetView>
  </sheetViews>
  <sheetFormatPr defaultColWidth="21.75" defaultRowHeight="12.75" x14ac:dyDescent="0.2"/>
  <cols>
    <col min="1" max="1" width="5.875" style="1" customWidth="1"/>
    <col min="2" max="2" width="17.25" style="2" customWidth="1"/>
    <col min="3" max="3" width="16.25" style="2" customWidth="1"/>
    <col min="4" max="4" width="15.5" style="2" customWidth="1"/>
    <col min="5" max="5" width="14.25" style="2" customWidth="1"/>
    <col min="6" max="6" width="14.125" style="2" customWidth="1"/>
    <col min="7" max="7" width="13.5" style="2" customWidth="1"/>
    <col min="8" max="16384" width="21.75" style="2"/>
  </cols>
  <sheetData>
    <row r="1" spans="2:13" ht="32.25" customHeight="1" thickBot="1" x14ac:dyDescent="0.25">
      <c r="B1" s="12" t="s">
        <v>80</v>
      </c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2:13" ht="39.75" thickBot="1" x14ac:dyDescent="0.25">
      <c r="B2" s="3" t="s">
        <v>0</v>
      </c>
      <c r="C2" s="3" t="s">
        <v>29</v>
      </c>
      <c r="D2" s="3" t="s">
        <v>1</v>
      </c>
      <c r="E2" s="3" t="s">
        <v>42</v>
      </c>
      <c r="F2" s="3" t="s">
        <v>47</v>
      </c>
      <c r="G2" s="3" t="s">
        <v>52</v>
      </c>
      <c r="H2" s="3" t="s">
        <v>56</v>
      </c>
      <c r="I2" s="3" t="s">
        <v>61</v>
      </c>
      <c r="J2" s="3" t="s">
        <v>65</v>
      </c>
      <c r="K2" s="3" t="s">
        <v>69</v>
      </c>
      <c r="L2" s="3" t="s">
        <v>74</v>
      </c>
      <c r="M2" s="3"/>
    </row>
    <row r="3" spans="2:13" ht="19.5" thickBot="1" x14ac:dyDescent="0.25">
      <c r="B3" s="4" t="s">
        <v>8</v>
      </c>
      <c r="C3" s="4">
        <f>E3+F3+G3+H3+I3+J3+K3+L3</f>
        <v>770</v>
      </c>
      <c r="D3" s="4"/>
      <c r="E3" s="4">
        <v>49</v>
      </c>
      <c r="F3" s="4">
        <v>141</v>
      </c>
      <c r="G3" s="4">
        <v>45</v>
      </c>
      <c r="H3" s="4">
        <v>165</v>
      </c>
      <c r="I3" s="4">
        <v>43</v>
      </c>
      <c r="J3" s="4">
        <v>278</v>
      </c>
      <c r="K3" s="4">
        <v>37</v>
      </c>
      <c r="L3" s="4">
        <v>12</v>
      </c>
      <c r="M3" s="4"/>
    </row>
    <row r="4" spans="2:13" ht="19.5" thickBot="1" x14ac:dyDescent="0.25">
      <c r="B4" s="4" t="s">
        <v>30</v>
      </c>
      <c r="C4" s="4">
        <f t="shared" ref="C4:C38" si="0">E4+F4+G4+H4+I4+J4+K4+L4</f>
        <v>49</v>
      </c>
      <c r="D4" s="4"/>
      <c r="E4" s="4">
        <v>49</v>
      </c>
      <c r="F4" s="4"/>
      <c r="G4" s="4"/>
      <c r="H4" s="4"/>
      <c r="I4" s="4"/>
      <c r="J4" s="4"/>
      <c r="K4" s="4"/>
      <c r="L4" s="4"/>
      <c r="M4" s="4"/>
    </row>
    <row r="5" spans="2:13" ht="19.5" thickBot="1" x14ac:dyDescent="0.25">
      <c r="B5" s="4" t="s">
        <v>35</v>
      </c>
      <c r="C5" s="4">
        <f t="shared" si="0"/>
        <v>721</v>
      </c>
      <c r="D5" s="4"/>
      <c r="E5" s="4">
        <v>49</v>
      </c>
      <c r="F5" s="4">
        <v>141</v>
      </c>
      <c r="G5" s="4">
        <v>45</v>
      </c>
      <c r="H5" s="4">
        <v>165</v>
      </c>
      <c r="I5" s="4">
        <v>43</v>
      </c>
      <c r="J5" s="4">
        <v>278</v>
      </c>
      <c r="K5" s="4"/>
      <c r="L5" s="4"/>
      <c r="M5" s="4"/>
    </row>
    <row r="6" spans="2:13" ht="19.5" thickBot="1" x14ac:dyDescent="0.25">
      <c r="B6" s="4" t="s">
        <v>10</v>
      </c>
      <c r="C6" s="4">
        <f t="shared" si="0"/>
        <v>247</v>
      </c>
      <c r="D6" s="4"/>
      <c r="E6" s="4">
        <v>49</v>
      </c>
      <c r="F6" s="4">
        <v>141</v>
      </c>
      <c r="G6" s="4">
        <v>45</v>
      </c>
      <c r="H6" s="4"/>
      <c r="I6" s="4"/>
      <c r="J6" s="4"/>
      <c r="K6" s="4"/>
      <c r="L6" s="4">
        <v>12</v>
      </c>
      <c r="M6" s="4"/>
    </row>
    <row r="7" spans="2:13" ht="19.5" thickBot="1" x14ac:dyDescent="0.25">
      <c r="B7" s="4" t="s">
        <v>81</v>
      </c>
      <c r="C7" s="4">
        <f t="shared" si="0"/>
        <v>190</v>
      </c>
      <c r="D7" s="4"/>
      <c r="E7" s="4">
        <v>49</v>
      </c>
      <c r="F7" s="4">
        <v>141</v>
      </c>
      <c r="G7" s="4"/>
      <c r="H7" s="4"/>
      <c r="I7" s="4"/>
      <c r="J7" s="4"/>
      <c r="K7" s="4"/>
      <c r="L7" s="4"/>
      <c r="M7" s="4"/>
    </row>
    <row r="8" spans="2:13" ht="19.5" thickBot="1" x14ac:dyDescent="0.25">
      <c r="B8" s="4" t="s">
        <v>36</v>
      </c>
      <c r="C8" s="4">
        <f t="shared" si="0"/>
        <v>92</v>
      </c>
      <c r="D8" s="4"/>
      <c r="E8" s="4">
        <v>49</v>
      </c>
      <c r="F8" s="4"/>
      <c r="G8" s="4"/>
      <c r="H8" s="4"/>
      <c r="I8" s="4">
        <v>43</v>
      </c>
      <c r="J8" s="4"/>
      <c r="K8" s="4"/>
      <c r="L8" s="4"/>
      <c r="M8" s="4"/>
    </row>
    <row r="9" spans="2:13" ht="19.5" thickBot="1" x14ac:dyDescent="0.25">
      <c r="B9" s="4">
        <v>28</v>
      </c>
      <c r="C9" s="4">
        <f t="shared" si="0"/>
        <v>535</v>
      </c>
      <c r="D9" s="4"/>
      <c r="E9" s="4">
        <v>49</v>
      </c>
      <c r="F9" s="4"/>
      <c r="G9" s="4"/>
      <c r="H9" s="4">
        <v>165</v>
      </c>
      <c r="I9" s="4">
        <v>43</v>
      </c>
      <c r="J9" s="4">
        <v>278</v>
      </c>
      <c r="K9" s="4"/>
      <c r="L9" s="4"/>
      <c r="M9" s="4"/>
    </row>
    <row r="10" spans="2:13" ht="19.5" thickBot="1" x14ac:dyDescent="0.25">
      <c r="B10" s="4" t="s">
        <v>32</v>
      </c>
      <c r="C10" s="4">
        <f t="shared" si="0"/>
        <v>676</v>
      </c>
      <c r="D10" s="4"/>
      <c r="E10" s="4">
        <v>49</v>
      </c>
      <c r="F10" s="4">
        <v>141</v>
      </c>
      <c r="G10" s="4"/>
      <c r="H10" s="4">
        <v>165</v>
      </c>
      <c r="I10" s="4">
        <v>43</v>
      </c>
      <c r="J10" s="4">
        <v>278</v>
      </c>
      <c r="K10" s="4"/>
      <c r="L10" s="4"/>
      <c r="M10" s="4"/>
    </row>
    <row r="11" spans="2:13" ht="19.5" thickBot="1" x14ac:dyDescent="0.25">
      <c r="B11" s="4" t="s">
        <v>11</v>
      </c>
      <c r="C11" s="4">
        <f t="shared" si="0"/>
        <v>400</v>
      </c>
      <c r="D11" s="4"/>
      <c r="E11" s="4">
        <v>49</v>
      </c>
      <c r="F11" s="4">
        <v>141</v>
      </c>
      <c r="G11" s="4">
        <v>45</v>
      </c>
      <c r="H11" s="4">
        <v>165</v>
      </c>
      <c r="I11" s="4"/>
      <c r="J11" s="4"/>
      <c r="K11" s="4"/>
      <c r="L11" s="4"/>
      <c r="M11" s="4"/>
    </row>
    <row r="12" spans="2:13" ht="19.5" thickBot="1" x14ac:dyDescent="0.25">
      <c r="B12" s="4" t="s">
        <v>18</v>
      </c>
      <c r="C12" s="4">
        <f t="shared" si="0"/>
        <v>560</v>
      </c>
      <c r="D12" s="4"/>
      <c r="E12" s="4">
        <v>49</v>
      </c>
      <c r="F12" s="4">
        <v>141</v>
      </c>
      <c r="G12" s="4"/>
      <c r="H12" s="4"/>
      <c r="I12" s="4">
        <v>43</v>
      </c>
      <c r="J12" s="4">
        <v>278</v>
      </c>
      <c r="K12" s="4">
        <v>37</v>
      </c>
      <c r="L12" s="4">
        <v>12</v>
      </c>
      <c r="M12" s="4"/>
    </row>
    <row r="13" spans="2:13" ht="19.5" thickBot="1" x14ac:dyDescent="0.25">
      <c r="B13" s="4" t="s">
        <v>33</v>
      </c>
      <c r="C13" s="4">
        <f t="shared" si="0"/>
        <v>49</v>
      </c>
      <c r="D13" s="4"/>
      <c r="E13" s="4">
        <v>49</v>
      </c>
      <c r="F13" s="4"/>
      <c r="G13" s="4"/>
      <c r="H13" s="4"/>
      <c r="I13" s="4"/>
      <c r="J13" s="4"/>
      <c r="K13" s="4"/>
      <c r="L13" s="4"/>
      <c r="M13" s="4"/>
    </row>
    <row r="14" spans="2:13" ht="19.5" thickBot="1" x14ac:dyDescent="0.25">
      <c r="B14" s="4" t="s">
        <v>5</v>
      </c>
      <c r="C14" s="4">
        <f t="shared" si="0"/>
        <v>733</v>
      </c>
      <c r="D14" s="4"/>
      <c r="E14" s="4">
        <v>49</v>
      </c>
      <c r="F14" s="4">
        <v>141</v>
      </c>
      <c r="G14" s="4">
        <v>45</v>
      </c>
      <c r="H14" s="4">
        <v>165</v>
      </c>
      <c r="I14" s="4">
        <v>43</v>
      </c>
      <c r="J14" s="4">
        <v>278</v>
      </c>
      <c r="K14" s="4"/>
      <c r="L14" s="4">
        <v>12</v>
      </c>
      <c r="M14" s="4"/>
    </row>
    <row r="15" spans="2:13" ht="19.5" thickBot="1" x14ac:dyDescent="0.25">
      <c r="B15" s="4" t="s">
        <v>25</v>
      </c>
      <c r="C15" s="4">
        <f t="shared" si="0"/>
        <v>427</v>
      </c>
      <c r="D15" s="4"/>
      <c r="E15" s="4">
        <v>49</v>
      </c>
      <c r="F15" s="4"/>
      <c r="G15" s="4">
        <v>45</v>
      </c>
      <c r="H15" s="4"/>
      <c r="I15" s="4">
        <v>43</v>
      </c>
      <c r="J15" s="4">
        <v>278</v>
      </c>
      <c r="K15" s="4"/>
      <c r="L15" s="4">
        <v>12</v>
      </c>
      <c r="M15" s="4"/>
    </row>
    <row r="16" spans="2:13" ht="19.5" thickBot="1" x14ac:dyDescent="0.25">
      <c r="B16" s="4" t="s">
        <v>82</v>
      </c>
      <c r="C16" s="4">
        <f t="shared" si="0"/>
        <v>580</v>
      </c>
      <c r="D16" s="4"/>
      <c r="E16" s="4">
        <v>49</v>
      </c>
      <c r="F16" s="4"/>
      <c r="G16" s="4">
        <v>45</v>
      </c>
      <c r="H16" s="4">
        <v>165</v>
      </c>
      <c r="I16" s="4">
        <v>43</v>
      </c>
      <c r="J16" s="4">
        <v>278</v>
      </c>
      <c r="K16" s="4"/>
      <c r="L16" s="4"/>
      <c r="M16" s="4"/>
    </row>
    <row r="17" spans="2:13" ht="19.5" thickBot="1" x14ac:dyDescent="0.25">
      <c r="B17" s="4" t="s">
        <v>21</v>
      </c>
      <c r="C17" s="4">
        <f t="shared" si="0"/>
        <v>629</v>
      </c>
      <c r="D17" s="4"/>
      <c r="E17" s="4">
        <v>49</v>
      </c>
      <c r="F17" s="4"/>
      <c r="G17" s="4">
        <v>45</v>
      </c>
      <c r="H17" s="4">
        <v>165</v>
      </c>
      <c r="I17" s="4">
        <v>43</v>
      </c>
      <c r="J17" s="4">
        <v>278</v>
      </c>
      <c r="K17" s="4">
        <v>37</v>
      </c>
      <c r="L17" s="4">
        <v>12</v>
      </c>
      <c r="M17" s="4"/>
    </row>
    <row r="18" spans="2:13" ht="19.5" thickBot="1" x14ac:dyDescent="0.25">
      <c r="B18" s="4" t="s">
        <v>2</v>
      </c>
      <c r="C18" s="4">
        <f t="shared" si="0"/>
        <v>367</v>
      </c>
      <c r="D18" s="4"/>
      <c r="E18" s="4">
        <v>49</v>
      </c>
      <c r="F18" s="4">
        <v>141</v>
      </c>
      <c r="G18" s="4"/>
      <c r="H18" s="4">
        <v>165</v>
      </c>
      <c r="I18" s="4"/>
      <c r="J18" s="4"/>
      <c r="K18" s="4"/>
      <c r="L18" s="4">
        <v>12</v>
      </c>
      <c r="M18" s="4"/>
    </row>
    <row r="19" spans="2:13" ht="19.5" thickBot="1" x14ac:dyDescent="0.25">
      <c r="B19" s="4" t="s">
        <v>17</v>
      </c>
      <c r="C19" s="4">
        <f t="shared" si="0"/>
        <v>410</v>
      </c>
      <c r="D19" s="4"/>
      <c r="E19" s="4">
        <v>49</v>
      </c>
      <c r="F19" s="4">
        <v>141</v>
      </c>
      <c r="G19" s="4"/>
      <c r="H19" s="4">
        <v>165</v>
      </c>
      <c r="I19" s="4">
        <v>43</v>
      </c>
      <c r="J19" s="4"/>
      <c r="K19" s="4"/>
      <c r="L19" s="4">
        <v>12</v>
      </c>
      <c r="M19" s="4"/>
    </row>
    <row r="20" spans="2:13" ht="19.5" thickBot="1" x14ac:dyDescent="0.25">
      <c r="B20" s="4" t="s">
        <v>38</v>
      </c>
      <c r="C20" s="4">
        <f t="shared" si="0"/>
        <v>327</v>
      </c>
      <c r="D20" s="4"/>
      <c r="E20" s="4">
        <v>49</v>
      </c>
      <c r="F20" s="4"/>
      <c r="G20" s="4"/>
      <c r="H20" s="4"/>
      <c r="I20" s="4"/>
      <c r="J20" s="4">
        <v>278</v>
      </c>
      <c r="K20" s="4"/>
      <c r="L20" s="4"/>
      <c r="M20" s="4"/>
    </row>
    <row r="21" spans="2:13" ht="19.5" thickBot="1" x14ac:dyDescent="0.25">
      <c r="B21" s="4" t="s">
        <v>3</v>
      </c>
      <c r="C21" s="4">
        <f t="shared" si="0"/>
        <v>271</v>
      </c>
      <c r="D21" s="4"/>
      <c r="E21" s="4">
        <v>49</v>
      </c>
      <c r="F21" s="4"/>
      <c r="G21" s="4">
        <v>45</v>
      </c>
      <c r="H21" s="4">
        <v>165</v>
      </c>
      <c r="I21" s="4"/>
      <c r="J21" s="4"/>
      <c r="K21" s="4"/>
      <c r="L21" s="4">
        <v>12</v>
      </c>
      <c r="M21" s="4"/>
    </row>
    <row r="22" spans="2:13" ht="19.5" thickBot="1" x14ac:dyDescent="0.25">
      <c r="B22" s="4" t="s">
        <v>19</v>
      </c>
      <c r="C22" s="4">
        <f t="shared" si="0"/>
        <v>251</v>
      </c>
      <c r="D22" s="4"/>
      <c r="E22" s="4">
        <v>49</v>
      </c>
      <c r="F22" s="4"/>
      <c r="G22" s="4"/>
      <c r="H22" s="4">
        <v>165</v>
      </c>
      <c r="I22" s="4"/>
      <c r="J22" s="4"/>
      <c r="K22" s="4">
        <v>37</v>
      </c>
      <c r="L22" s="4"/>
      <c r="M22" s="4"/>
    </row>
    <row r="23" spans="2:13" ht="19.5" thickBot="1" x14ac:dyDescent="0.25">
      <c r="B23" s="4" t="s">
        <v>9</v>
      </c>
      <c r="C23" s="4">
        <f>E23+F23+G23+H23+I23+J23+K23+L23+M23</f>
        <v>612</v>
      </c>
      <c r="D23" s="4"/>
      <c r="E23" s="4">
        <v>49</v>
      </c>
      <c r="F23" s="4">
        <v>141</v>
      </c>
      <c r="G23" s="4"/>
      <c r="H23" s="4">
        <v>165</v>
      </c>
      <c r="I23" s="4"/>
      <c r="J23" s="4"/>
      <c r="K23" s="4">
        <v>37</v>
      </c>
      <c r="L23" s="4"/>
      <c r="M23" s="4">
        <v>220</v>
      </c>
    </row>
    <row r="24" spans="2:13" ht="19.5" thickBot="1" x14ac:dyDescent="0.25">
      <c r="B24" s="4" t="s">
        <v>22</v>
      </c>
      <c r="C24" s="4">
        <f t="shared" si="0"/>
        <v>492</v>
      </c>
      <c r="D24" s="4"/>
      <c r="E24" s="4">
        <v>49</v>
      </c>
      <c r="F24" s="4">
        <v>141</v>
      </c>
      <c r="G24" s="4">
        <v>45</v>
      </c>
      <c r="H24" s="4">
        <v>165</v>
      </c>
      <c r="I24" s="4">
        <v>43</v>
      </c>
      <c r="J24" s="4"/>
      <c r="K24" s="4">
        <v>37</v>
      </c>
      <c r="L24" s="4">
        <v>12</v>
      </c>
      <c r="M24" s="4"/>
    </row>
    <row r="25" spans="2:13" ht="19.5" thickBot="1" x14ac:dyDescent="0.25">
      <c r="B25" s="4" t="s">
        <v>4</v>
      </c>
      <c r="C25" s="4">
        <f t="shared" si="0"/>
        <v>202</v>
      </c>
      <c r="D25" s="4"/>
      <c r="E25" s="4">
        <v>49</v>
      </c>
      <c r="F25" s="4">
        <v>141</v>
      </c>
      <c r="G25" s="4"/>
      <c r="H25" s="4"/>
      <c r="I25" s="4"/>
      <c r="J25" s="4"/>
      <c r="K25" s="4"/>
      <c r="L25" s="4">
        <v>12</v>
      </c>
      <c r="M25" s="4"/>
    </row>
    <row r="26" spans="2:13" ht="19.5" thickBot="1" x14ac:dyDescent="0.25">
      <c r="B26" s="4" t="s">
        <v>15</v>
      </c>
      <c r="C26" s="4">
        <f t="shared" si="0"/>
        <v>263</v>
      </c>
      <c r="D26" s="4"/>
      <c r="E26" s="4">
        <v>49</v>
      </c>
      <c r="F26" s="4"/>
      <c r="G26" s="4"/>
      <c r="H26" s="4">
        <v>165</v>
      </c>
      <c r="I26" s="4"/>
      <c r="J26" s="4"/>
      <c r="K26" s="4">
        <v>37</v>
      </c>
      <c r="L26" s="4">
        <v>12</v>
      </c>
      <c r="M26" s="4"/>
    </row>
    <row r="27" spans="2:13" ht="19.5" thickBot="1" x14ac:dyDescent="0.25">
      <c r="B27" s="4" t="s">
        <v>20</v>
      </c>
      <c r="C27" s="4">
        <f t="shared" si="0"/>
        <v>733</v>
      </c>
      <c r="D27" s="4"/>
      <c r="E27" s="4">
        <v>49</v>
      </c>
      <c r="F27" s="4">
        <v>141</v>
      </c>
      <c r="G27" s="4">
        <v>45</v>
      </c>
      <c r="H27" s="4">
        <v>165</v>
      </c>
      <c r="I27" s="4">
        <v>43</v>
      </c>
      <c r="J27" s="4">
        <v>278</v>
      </c>
      <c r="K27" s="4"/>
      <c r="L27" s="4">
        <v>12</v>
      </c>
      <c r="M27" s="4"/>
    </row>
    <row r="28" spans="2:13" ht="19.5" thickBot="1" x14ac:dyDescent="0.25">
      <c r="B28" s="4" t="s">
        <v>16</v>
      </c>
      <c r="C28" s="4">
        <f t="shared" si="0"/>
        <v>447</v>
      </c>
      <c r="D28" s="4"/>
      <c r="E28" s="4">
        <v>49</v>
      </c>
      <c r="F28" s="4">
        <v>141</v>
      </c>
      <c r="G28" s="4"/>
      <c r="H28" s="4">
        <v>165</v>
      </c>
      <c r="I28" s="4">
        <v>43</v>
      </c>
      <c r="J28" s="4"/>
      <c r="K28" s="4">
        <v>37</v>
      </c>
      <c r="L28" s="4">
        <v>12</v>
      </c>
      <c r="M28" s="4"/>
    </row>
    <row r="29" spans="2:13" ht="19.5" thickBot="1" x14ac:dyDescent="0.25">
      <c r="B29" s="4" t="s">
        <v>37</v>
      </c>
      <c r="C29" s="4">
        <f t="shared" si="0"/>
        <v>519</v>
      </c>
      <c r="D29" s="4"/>
      <c r="E29" s="4"/>
      <c r="F29" s="4">
        <v>141</v>
      </c>
      <c r="G29" s="4">
        <v>45</v>
      </c>
      <c r="H29" s="4"/>
      <c r="I29" s="4">
        <v>43</v>
      </c>
      <c r="J29" s="4">
        <v>278</v>
      </c>
      <c r="K29" s="4"/>
      <c r="L29" s="4">
        <v>12</v>
      </c>
      <c r="M29" s="4"/>
    </row>
    <row r="30" spans="2:13" ht="19.5" thickBot="1" x14ac:dyDescent="0.25">
      <c r="B30" s="4" t="s">
        <v>27</v>
      </c>
      <c r="C30" s="4">
        <f t="shared" si="0"/>
        <v>302</v>
      </c>
      <c r="D30" s="4"/>
      <c r="E30" s="4"/>
      <c r="F30" s="4"/>
      <c r="G30" s="4">
        <v>45</v>
      </c>
      <c r="H30" s="4">
        <v>165</v>
      </c>
      <c r="I30" s="4">
        <v>43</v>
      </c>
      <c r="J30" s="4"/>
      <c r="K30" s="4">
        <v>37</v>
      </c>
      <c r="L30" s="4">
        <v>12</v>
      </c>
      <c r="M30" s="4"/>
    </row>
    <row r="31" spans="2:13" ht="19.5" thickBot="1" x14ac:dyDescent="0.25">
      <c r="B31" s="4" t="s">
        <v>26</v>
      </c>
      <c r="C31" s="4">
        <f t="shared" si="0"/>
        <v>531</v>
      </c>
      <c r="D31" s="4"/>
      <c r="E31" s="4"/>
      <c r="F31" s="4"/>
      <c r="G31" s="4">
        <v>45</v>
      </c>
      <c r="H31" s="4">
        <v>165</v>
      </c>
      <c r="I31" s="4">
        <v>43</v>
      </c>
      <c r="J31" s="4">
        <v>278</v>
      </c>
      <c r="K31" s="4"/>
      <c r="L31" s="4"/>
      <c r="M31" s="4"/>
    </row>
    <row r="32" spans="2:13" ht="19.5" thickBot="1" x14ac:dyDescent="0.25">
      <c r="B32" s="4" t="s">
        <v>39</v>
      </c>
      <c r="C32" s="4">
        <f t="shared" si="0"/>
        <v>57</v>
      </c>
      <c r="D32" s="4"/>
      <c r="E32" s="4"/>
      <c r="F32" s="4"/>
      <c r="G32" s="4">
        <v>45</v>
      </c>
      <c r="H32" s="4"/>
      <c r="I32" s="4"/>
      <c r="J32" s="4"/>
      <c r="K32" s="4"/>
      <c r="L32" s="4">
        <v>12</v>
      </c>
      <c r="M32" s="4"/>
    </row>
    <row r="33" spans="2:13" ht="19.5" thickBot="1" x14ac:dyDescent="0.25">
      <c r="B33" s="4" t="s">
        <v>23</v>
      </c>
      <c r="C33" s="4">
        <f t="shared" si="0"/>
        <v>531</v>
      </c>
      <c r="D33" s="4"/>
      <c r="E33" s="4"/>
      <c r="F33" s="4"/>
      <c r="G33" s="4">
        <v>45</v>
      </c>
      <c r="H33" s="4">
        <v>165</v>
      </c>
      <c r="I33" s="4">
        <v>43</v>
      </c>
      <c r="J33" s="4">
        <v>278</v>
      </c>
      <c r="K33" s="4"/>
      <c r="L33" s="4"/>
      <c r="M33" s="4"/>
    </row>
    <row r="34" spans="2:13" ht="19.5" thickBot="1" x14ac:dyDescent="0.25">
      <c r="B34" s="4" t="s">
        <v>83</v>
      </c>
      <c r="C34" s="4">
        <f t="shared" si="0"/>
        <v>165</v>
      </c>
      <c r="D34" s="4"/>
      <c r="E34" s="4"/>
      <c r="F34" s="4"/>
      <c r="G34" s="4"/>
      <c r="H34" s="4">
        <v>165</v>
      </c>
      <c r="I34" s="4"/>
      <c r="J34" s="4"/>
      <c r="K34" s="4"/>
      <c r="L34" s="4"/>
      <c r="M34" s="4"/>
    </row>
    <row r="35" spans="2:13" ht="19.5" thickBot="1" x14ac:dyDescent="0.25">
      <c r="B35" s="4" t="s">
        <v>31</v>
      </c>
      <c r="C35" s="4">
        <f t="shared" si="0"/>
        <v>165</v>
      </c>
      <c r="D35" s="4"/>
      <c r="E35" s="4"/>
      <c r="F35" s="4"/>
      <c r="G35" s="4"/>
      <c r="H35" s="4">
        <v>165</v>
      </c>
      <c r="I35" s="4"/>
      <c r="J35" s="4"/>
      <c r="K35" s="4"/>
      <c r="L35" s="4"/>
      <c r="M35" s="4"/>
    </row>
    <row r="36" spans="2:13" ht="19.5" thickBot="1" x14ac:dyDescent="0.25">
      <c r="B36" s="4" t="s">
        <v>34</v>
      </c>
      <c r="C36" s="4">
        <f t="shared" si="0"/>
        <v>165</v>
      </c>
      <c r="D36" s="4"/>
      <c r="E36" s="4"/>
      <c r="F36" s="4"/>
      <c r="G36" s="4"/>
      <c r="H36" s="4">
        <v>165</v>
      </c>
      <c r="I36" s="4"/>
      <c r="J36" s="4"/>
      <c r="K36" s="4"/>
      <c r="L36" s="4"/>
      <c r="M36" s="4"/>
    </row>
    <row r="37" spans="2:13" ht="19.5" thickBot="1" x14ac:dyDescent="0.25">
      <c r="B37" s="4" t="s">
        <v>84</v>
      </c>
      <c r="C37" s="4">
        <f t="shared" si="0"/>
        <v>278</v>
      </c>
      <c r="D37" s="4"/>
      <c r="E37" s="4"/>
      <c r="F37" s="4"/>
      <c r="G37" s="4"/>
      <c r="H37" s="4"/>
      <c r="I37" s="4"/>
      <c r="J37" s="4">
        <v>278</v>
      </c>
      <c r="K37" s="4"/>
      <c r="L37" s="4"/>
      <c r="M37" s="4"/>
    </row>
    <row r="38" spans="2:13" ht="19.5" thickBot="1" x14ac:dyDescent="0.25">
      <c r="B38" s="4" t="s">
        <v>40</v>
      </c>
      <c r="C38" s="4">
        <f t="shared" si="0"/>
        <v>49</v>
      </c>
      <c r="D38" s="4"/>
      <c r="E38" s="4"/>
      <c r="F38" s="4"/>
      <c r="G38" s="4"/>
      <c r="H38" s="4"/>
      <c r="I38" s="4"/>
      <c r="J38" s="4"/>
      <c r="K38" s="4">
        <v>37</v>
      </c>
      <c r="L38" s="4">
        <v>12</v>
      </c>
      <c r="M38" s="4"/>
    </row>
    <row r="39" spans="2:13" ht="20.25" thickBot="1" x14ac:dyDescent="0.25">
      <c r="B39" s="13" t="s">
        <v>85</v>
      </c>
      <c r="C39" s="4">
        <v>13575</v>
      </c>
    </row>
  </sheetData>
  <mergeCells count="1">
    <mergeCell ref="B1:L1"/>
  </mergeCells>
  <phoneticPr fontId="1" type="noConversion"/>
  <conditionalFormatting sqref="B40:B1048576">
    <cfRule type="duplicateValues" dxfId="6" priority="7"/>
  </conditionalFormatting>
  <conditionalFormatting sqref="B40:B1048576">
    <cfRule type="duplicateValues" dxfId="5" priority="9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产出</vt:lpstr>
      <vt:lpstr>分配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卢宝强</cp:lastModifiedBy>
  <dcterms:created xsi:type="dcterms:W3CDTF">2026-08-08T11:54:16Z</dcterms:created>
  <dcterms:modified xsi:type="dcterms:W3CDTF">2026-09-20T08:16:03Z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00c6d252-9c42-4168-98e2-8e077f41f922</vt:lpwstr>
  </property>
</Properties>
</file>