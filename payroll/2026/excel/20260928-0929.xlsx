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848B25F7-25EF-476E-A865-8523B23AE142}" xr6:coauthVersionLast="47" xr6:coauthVersionMax="47" xr10:uidLastSave="{00000000-0000-0000-0000-000000000000}"/>
  <bookViews>
    <workbookView xWindow="-120" yWindow="-120" windowWidth="51840" windowHeight="21120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" i="1"/>
  <c r="D7" i="4"/>
  <c r="C30" i="1" l="1"/>
</calcChain>
</file>

<file path=xl/sharedStrings.xml><?xml version="1.0" encoding="utf-8"?>
<sst xmlns="http://schemas.openxmlformats.org/spreadsheetml/2006/main" count="66" uniqueCount="59">
  <si>
    <t>人员</t>
  </si>
  <si>
    <t>领取</t>
  </si>
  <si>
    <t>虹之间</t>
  </si>
  <si>
    <t>紫轩唐悦</t>
  </si>
  <si>
    <t>产出</t>
  </si>
  <si>
    <t>总人数</t>
  </si>
  <si>
    <t>行会账户A</t>
  </si>
  <si>
    <t>时间与地图</t>
  </si>
  <si>
    <t>总收入</t>
  </si>
  <si>
    <t>每人</t>
  </si>
  <si>
    <t>风云无情</t>
  </si>
  <si>
    <t>无悔</t>
  </si>
  <si>
    <t>皇族风</t>
  </si>
  <si>
    <t>舞动乾坤</t>
  </si>
  <si>
    <t>你好朋友</t>
  </si>
  <si>
    <t>累计应发</t>
  </si>
  <si>
    <t>抚琴</t>
  </si>
  <si>
    <t>天地君</t>
  </si>
  <si>
    <t>空白系</t>
  </si>
  <si>
    <t>kk123</t>
  </si>
  <si>
    <t>法紫山</t>
  </si>
  <si>
    <t>鼻嗅爱</t>
  </si>
  <si>
    <t>15人</t>
  </si>
  <si>
    <t>.</t>
    <phoneticPr fontId="1" type="noConversion"/>
  </si>
  <si>
    <t>合计</t>
    <phoneticPr fontId="1" type="noConversion"/>
  </si>
  <si>
    <t>金水</t>
  </si>
  <si>
    <t>传说小胖</t>
  </si>
  <si>
    <t>花无双</t>
  </si>
  <si>
    <t>看淡浮尘</t>
  </si>
  <si>
    <t>皇族酷</t>
  </si>
  <si>
    <t>幸福道人</t>
  </si>
  <si>
    <t>大虾</t>
  </si>
  <si>
    <t>序号</t>
    <phoneticPr fontId="1" type="noConversion"/>
  </si>
  <si>
    <t>合计</t>
    <phoneticPr fontId="1" type="noConversion"/>
  </si>
  <si>
    <t>0928 - 1000 - 魔7</t>
  </si>
  <si>
    <t>行会账户A、 # 大钢棒、抚琴、大虾、法紫山、虹之间、无悔、风云无情、鼻嗅爱、金水、紫轩唐悦、舞动乾坤、幸福道人、传说小胖、你好朋友</t>
  </si>
  <si>
    <t>41石头492通宝+连珠（50）、强雷（50）=592</t>
  </si>
  <si>
    <t>39(余7)</t>
  </si>
  <si>
    <t>0928 - 1600 - 魔7</t>
  </si>
  <si>
    <t>行会账户A、弑神刀神、抚琴、kk123、金水、天地君、 看淡浮沉、 虹之间、 空白系、 # 你好朋友、无悔、法紫山、传说小胖、花无双、舞动乾坤</t>
  </si>
  <si>
    <t>34石头408+天尊腰带120=528</t>
  </si>
  <si>
    <t>35 (余3)</t>
  </si>
  <si>
    <t>0929 - 1000 - 魔7</t>
  </si>
  <si>
    <t>行会账户A、 舞动乾坤、简笔画、#弑神刀神、虹之间、传说小胖、无悔、皇族酷、大钢棒、风云无情、紫轩唐悦、皇族风、趴下、抚琴、你好朋友、大虾</t>
  </si>
  <si>
    <t>37石头444+100（两本书）+50（昨晚）+150（圣手）+ 法神头（120）= 864</t>
  </si>
  <si>
    <t>16人</t>
  </si>
  <si>
    <t>0929 - 1600 - 魔7</t>
  </si>
  <si>
    <t>行会账户A、# 弑神刀神、情有毒钟、简笔画、你好朋友、空白系、金水、传说小胖、鼻嗅爱、看淡浮沉、紫轩唐悦、抚琴、无悔、舞动乾坤</t>
  </si>
  <si>
    <t>41石头492+圣手、法手300+神兽280+连珠80+2祝福油800合计1952</t>
  </si>
  <si>
    <t>14人</t>
  </si>
  <si>
    <t>139(余6)</t>
  </si>
  <si>
    <t>(余16)</t>
    <phoneticPr fontId="1" type="noConversion"/>
  </si>
  <si>
    <t>大钢棒</t>
  </si>
  <si>
    <t>弑神刀神</t>
  </si>
  <si>
    <t>简笔画</t>
  </si>
  <si>
    <t>趴下</t>
  </si>
  <si>
    <t>情有毒钟</t>
  </si>
  <si>
    <r>
      <t xml:space="preserve">0928-0929 </t>
    </r>
    <r>
      <rPr>
        <b/>
        <sz val="14"/>
        <rFont val="微软雅黑"/>
        <family val="2"/>
        <charset val="134"/>
      </rPr>
      <t>集体产出</t>
    </r>
    <r>
      <rPr>
        <b/>
        <sz val="14"/>
        <rFont val="Arial"/>
        <family val="2"/>
      </rPr>
      <t xml:space="preserve"> 3936 ( </t>
    </r>
    <r>
      <rPr>
        <b/>
        <sz val="14"/>
        <rFont val="微软雅黑"/>
        <family val="2"/>
        <charset val="134"/>
      </rPr>
      <t>实际分配</t>
    </r>
    <r>
      <rPr>
        <b/>
        <sz val="14"/>
        <rFont val="Arial"/>
        <family val="2"/>
      </rPr>
      <t xml:space="preserve"> 3920 )   </t>
    </r>
    <r>
      <rPr>
        <b/>
        <sz val="14"/>
        <rFont val="微软雅黑"/>
        <family val="2"/>
        <charset val="134"/>
      </rPr>
      <t>行会账户</t>
    </r>
    <r>
      <rPr>
        <b/>
        <sz val="14"/>
        <rFont val="Arial"/>
        <family val="2"/>
      </rPr>
      <t xml:space="preserve">A   </t>
    </r>
    <r>
      <rPr>
        <b/>
        <sz val="14"/>
        <rFont val="微软雅黑"/>
        <family val="2"/>
        <charset val="134"/>
      </rPr>
      <t>往期结存</t>
    </r>
    <r>
      <rPr>
        <b/>
        <sz val="14"/>
        <rFont val="Arial"/>
        <family val="2"/>
      </rPr>
      <t xml:space="preserve"> ( 3,769 + 353 = 4122 )</t>
    </r>
    <phoneticPr fontId="1" type="noConversion"/>
  </si>
  <si>
    <r>
      <t xml:space="preserve">0928-0929 </t>
    </r>
    <r>
      <rPr>
        <b/>
        <sz val="16"/>
        <color theme="1"/>
        <rFont val="宋体"/>
        <family val="2"/>
        <charset val="134"/>
      </rPr>
      <t>集体产出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</si>
</sst>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等线"/>
      <family val="2"/>
      <charset val="134"/>
      <scheme val="minor"/>
    </font>
    <font>
      <b/>
      <sz val="14"/>
      <name val="Arial"/>
      <family val="2"/>
    </font>
    <font>
      <b/>
      <sz val="14"/>
      <name val="微软雅黑"/>
      <family val="2"/>
      <charset val="134"/>
    </font>
    <font>
      <b/>
      <sz val="12"/>
      <color theme="1"/>
      <name val="等线"/>
      <family val="2"/>
      <charset val="134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8"/>
  <sheetViews>
    <sheetView tabSelected="1" zoomScaleNormal="100" workbookViewId="0">
      <selection activeCell="C10" sqref="C10"/>
    </sheetView>
  </sheetViews>
  <sheetFormatPr defaultColWidth="8.625" defaultRowHeight="70.5" customHeight="1" x14ac:dyDescent="0.2"/>
  <cols>
    <col min="1" max="1" width="25.875" style="10" customWidth="1"/>
    <col min="2" max="2" width="66.25" style="6" bestFit="1" customWidth="1"/>
    <col min="3" max="3" width="35.75" style="6" bestFit="1" customWidth="1"/>
    <col min="4" max="4" width="12.875" style="6" customWidth="1"/>
    <col min="5" max="5" width="12.375" style="6" customWidth="1"/>
    <col min="6" max="6" width="10.625" style="6" customWidth="1"/>
    <col min="7" max="16384" width="8.625" style="6"/>
  </cols>
  <sheetData>
    <row r="1" spans="1:6" ht="27" customHeight="1" thickBot="1" x14ac:dyDescent="0.25">
      <c r="A1" s="11" t="s">
        <v>58</v>
      </c>
      <c r="B1" s="5"/>
      <c r="C1" s="5"/>
      <c r="D1" s="5"/>
      <c r="E1" s="5"/>
      <c r="F1" s="5"/>
    </row>
    <row r="2" spans="1:6" ht="70.5" customHeight="1" thickBot="1" x14ac:dyDescent="0.25">
      <c r="A2" s="7" t="s">
        <v>7</v>
      </c>
      <c r="B2" s="7" t="s">
        <v>0</v>
      </c>
      <c r="C2" s="7" t="s">
        <v>4</v>
      </c>
      <c r="D2" s="7" t="s">
        <v>8</v>
      </c>
      <c r="E2" s="7" t="s">
        <v>5</v>
      </c>
      <c r="F2" s="7" t="s">
        <v>9</v>
      </c>
    </row>
    <row r="3" spans="1:6" ht="70.5" customHeight="1" thickBot="1" x14ac:dyDescent="0.25">
      <c r="A3" s="8" t="s">
        <v>34</v>
      </c>
      <c r="B3" s="8" t="s">
        <v>35</v>
      </c>
      <c r="C3" s="8" t="s">
        <v>36</v>
      </c>
      <c r="D3" s="9">
        <v>592</v>
      </c>
      <c r="E3" s="9" t="s">
        <v>22</v>
      </c>
      <c r="F3" s="9" t="s">
        <v>37</v>
      </c>
    </row>
    <row r="4" spans="1:6" ht="70.5" customHeight="1" thickBot="1" x14ac:dyDescent="0.25">
      <c r="A4" s="8" t="s">
        <v>38</v>
      </c>
      <c r="B4" s="8" t="s">
        <v>39</v>
      </c>
      <c r="C4" s="8" t="s">
        <v>40</v>
      </c>
      <c r="D4" s="9">
        <v>528</v>
      </c>
      <c r="E4" s="9" t="s">
        <v>22</v>
      </c>
      <c r="F4" s="9" t="s">
        <v>41</v>
      </c>
    </row>
    <row r="5" spans="1:6" ht="70.5" customHeight="1" thickBot="1" x14ac:dyDescent="0.25">
      <c r="A5" s="8" t="s">
        <v>42</v>
      </c>
      <c r="B5" s="8" t="s">
        <v>43</v>
      </c>
      <c r="C5" s="8" t="s">
        <v>44</v>
      </c>
      <c r="D5" s="9">
        <v>864</v>
      </c>
      <c r="E5" s="9" t="s">
        <v>45</v>
      </c>
      <c r="F5" s="9">
        <v>54</v>
      </c>
    </row>
    <row r="6" spans="1:6" ht="70.5" customHeight="1" thickBot="1" x14ac:dyDescent="0.25">
      <c r="A6" s="8" t="s">
        <v>46</v>
      </c>
      <c r="B6" s="8" t="s">
        <v>47</v>
      </c>
      <c r="C6" s="8" t="s">
        <v>48</v>
      </c>
      <c r="D6" s="9">
        <v>1952</v>
      </c>
      <c r="E6" s="9" t="s">
        <v>49</v>
      </c>
      <c r="F6" s="9" t="s">
        <v>50</v>
      </c>
    </row>
    <row r="7" spans="1:6" ht="34.5" customHeight="1" x14ac:dyDescent="0.2">
      <c r="C7" s="10" t="s">
        <v>24</v>
      </c>
      <c r="D7" s="10">
        <f>SUM(D3:D6)</f>
        <v>3936</v>
      </c>
      <c r="E7" s="10"/>
      <c r="F7" s="10" t="s">
        <v>51</v>
      </c>
    </row>
    <row r="8" spans="1:6" ht="70.5" customHeight="1" x14ac:dyDescent="0.2">
      <c r="F8" s="6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H30"/>
  <sheetViews>
    <sheetView zoomScaleNormal="100" workbookViewId="0">
      <selection activeCell="B1" sqref="B1:G1"/>
    </sheetView>
  </sheetViews>
  <sheetFormatPr defaultColWidth="21.75" defaultRowHeight="57.75" customHeight="1" x14ac:dyDescent="0.2"/>
  <cols>
    <col min="1" max="1" width="11.625" style="1" customWidth="1"/>
    <col min="2" max="2" width="17.25" style="2" customWidth="1"/>
    <col min="3" max="3" width="12.75" style="2" customWidth="1"/>
    <col min="4" max="4" width="9.75" style="2" customWidth="1"/>
    <col min="5" max="7" width="22.625" style="2" bestFit="1" customWidth="1"/>
    <col min="8" max="16384" width="21.75" style="2"/>
  </cols>
  <sheetData>
    <row r="1" spans="1:8" ht="57.75" customHeight="1" thickBot="1" x14ac:dyDescent="0.25">
      <c r="B1" s="4" t="s">
        <v>57</v>
      </c>
      <c r="C1" s="4"/>
      <c r="D1" s="4"/>
      <c r="E1" s="4"/>
      <c r="F1" s="4"/>
      <c r="G1" s="4"/>
    </row>
    <row r="2" spans="1:8" ht="36" customHeight="1" thickBot="1" x14ac:dyDescent="0.25">
      <c r="A2" s="3" t="s">
        <v>32</v>
      </c>
      <c r="B2" s="7" t="s">
        <v>0</v>
      </c>
      <c r="C2" s="7" t="s">
        <v>15</v>
      </c>
      <c r="D2" s="7" t="s">
        <v>1</v>
      </c>
      <c r="E2" s="7" t="s">
        <v>34</v>
      </c>
      <c r="F2" s="7" t="s">
        <v>38</v>
      </c>
      <c r="G2" s="7" t="s">
        <v>42</v>
      </c>
      <c r="H2" s="7" t="s">
        <v>46</v>
      </c>
    </row>
    <row r="3" spans="1:8" ht="20.100000000000001" customHeight="1" thickBot="1" x14ac:dyDescent="0.25">
      <c r="A3" s="3">
        <v>1</v>
      </c>
      <c r="B3" s="9" t="s">
        <v>6</v>
      </c>
      <c r="C3" s="9">
        <f>E3+F3+G3+H3</f>
        <v>267</v>
      </c>
      <c r="D3" s="9"/>
      <c r="E3" s="9">
        <v>39</v>
      </c>
      <c r="F3" s="9">
        <v>35</v>
      </c>
      <c r="G3" s="9">
        <v>54</v>
      </c>
      <c r="H3" s="9">
        <v>139</v>
      </c>
    </row>
    <row r="4" spans="1:8" ht="20.100000000000001" customHeight="1" thickBot="1" x14ac:dyDescent="0.25">
      <c r="A4" s="3">
        <v>2</v>
      </c>
      <c r="B4" s="9" t="s">
        <v>52</v>
      </c>
      <c r="C4" s="9">
        <f t="shared" ref="C4:C29" si="0">E4+F4+G4+H4</f>
        <v>93</v>
      </c>
      <c r="D4" s="9"/>
      <c r="E4" s="9">
        <v>39</v>
      </c>
      <c r="F4" s="9"/>
      <c r="G4" s="9">
        <v>54</v>
      </c>
      <c r="H4" s="9"/>
    </row>
    <row r="5" spans="1:8" ht="20.100000000000001" customHeight="1" thickBot="1" x14ac:dyDescent="0.25">
      <c r="A5" s="3">
        <v>3</v>
      </c>
      <c r="B5" s="9" t="s">
        <v>16</v>
      </c>
      <c r="C5" s="9">
        <f t="shared" si="0"/>
        <v>267</v>
      </c>
      <c r="D5" s="9"/>
      <c r="E5" s="9">
        <v>39</v>
      </c>
      <c r="F5" s="9">
        <v>35</v>
      </c>
      <c r="G5" s="9">
        <v>54</v>
      </c>
      <c r="H5" s="9">
        <v>139</v>
      </c>
    </row>
    <row r="6" spans="1:8" ht="20.100000000000001" customHeight="1" thickBot="1" x14ac:dyDescent="0.25">
      <c r="A6" s="3">
        <v>4</v>
      </c>
      <c r="B6" s="9" t="s">
        <v>31</v>
      </c>
      <c r="C6" s="9">
        <f t="shared" si="0"/>
        <v>93</v>
      </c>
      <c r="D6" s="9"/>
      <c r="E6" s="9">
        <v>39</v>
      </c>
      <c r="F6" s="9"/>
      <c r="G6" s="9">
        <v>54</v>
      </c>
      <c r="H6" s="9"/>
    </row>
    <row r="7" spans="1:8" ht="20.100000000000001" customHeight="1" thickBot="1" x14ac:dyDescent="0.25">
      <c r="A7" s="3">
        <v>5</v>
      </c>
      <c r="B7" s="9" t="s">
        <v>20</v>
      </c>
      <c r="C7" s="9">
        <f t="shared" si="0"/>
        <v>39</v>
      </c>
      <c r="D7" s="9"/>
      <c r="E7" s="9">
        <v>39</v>
      </c>
      <c r="F7" s="9"/>
      <c r="G7" s="9"/>
      <c r="H7" s="9"/>
    </row>
    <row r="8" spans="1:8" ht="20.100000000000001" customHeight="1" thickBot="1" x14ac:dyDescent="0.25">
      <c r="A8" s="3">
        <v>6</v>
      </c>
      <c r="B8" s="9" t="s">
        <v>2</v>
      </c>
      <c r="C8" s="9">
        <f t="shared" si="0"/>
        <v>128</v>
      </c>
      <c r="D8" s="9"/>
      <c r="E8" s="9">
        <v>39</v>
      </c>
      <c r="F8" s="9">
        <v>35</v>
      </c>
      <c r="G8" s="9">
        <v>54</v>
      </c>
      <c r="H8" s="9"/>
    </row>
    <row r="9" spans="1:8" ht="20.100000000000001" customHeight="1" thickBot="1" x14ac:dyDescent="0.25">
      <c r="A9" s="3">
        <v>7</v>
      </c>
      <c r="B9" s="9" t="s">
        <v>11</v>
      </c>
      <c r="C9" s="9">
        <f t="shared" si="0"/>
        <v>267</v>
      </c>
      <c r="D9" s="9"/>
      <c r="E9" s="9">
        <v>39</v>
      </c>
      <c r="F9" s="9">
        <v>35</v>
      </c>
      <c r="G9" s="9">
        <v>54</v>
      </c>
      <c r="H9" s="9">
        <v>139</v>
      </c>
    </row>
    <row r="10" spans="1:8" ht="20.100000000000001" customHeight="1" thickBot="1" x14ac:dyDescent="0.25">
      <c r="A10" s="3">
        <v>8</v>
      </c>
      <c r="B10" s="9" t="s">
        <v>10</v>
      </c>
      <c r="C10" s="9">
        <f t="shared" si="0"/>
        <v>93</v>
      </c>
      <c r="D10" s="9"/>
      <c r="E10" s="9">
        <v>39</v>
      </c>
      <c r="F10" s="9"/>
      <c r="G10" s="9">
        <v>54</v>
      </c>
      <c r="H10" s="9"/>
    </row>
    <row r="11" spans="1:8" ht="20.100000000000001" customHeight="1" thickBot="1" x14ac:dyDescent="0.25">
      <c r="A11" s="3">
        <v>9</v>
      </c>
      <c r="B11" s="9" t="s">
        <v>21</v>
      </c>
      <c r="C11" s="9">
        <f t="shared" si="0"/>
        <v>178</v>
      </c>
      <c r="D11" s="9"/>
      <c r="E11" s="9">
        <v>39</v>
      </c>
      <c r="F11" s="9"/>
      <c r="G11" s="9"/>
      <c r="H11" s="9">
        <v>139</v>
      </c>
    </row>
    <row r="12" spans="1:8" ht="20.100000000000001" customHeight="1" thickBot="1" x14ac:dyDescent="0.25">
      <c r="A12" s="3">
        <v>10</v>
      </c>
      <c r="B12" s="9" t="s">
        <v>25</v>
      </c>
      <c r="C12" s="9">
        <f t="shared" si="0"/>
        <v>213</v>
      </c>
      <c r="D12" s="9"/>
      <c r="E12" s="9">
        <v>39</v>
      </c>
      <c r="F12" s="9">
        <v>35</v>
      </c>
      <c r="G12" s="9"/>
      <c r="H12" s="9">
        <v>139</v>
      </c>
    </row>
    <row r="13" spans="1:8" ht="20.100000000000001" customHeight="1" thickBot="1" x14ac:dyDescent="0.25">
      <c r="A13" s="3">
        <v>11</v>
      </c>
      <c r="B13" s="9" t="s">
        <v>3</v>
      </c>
      <c r="C13" s="9">
        <f t="shared" si="0"/>
        <v>232</v>
      </c>
      <c r="D13" s="9"/>
      <c r="E13" s="9">
        <v>39</v>
      </c>
      <c r="F13" s="9"/>
      <c r="G13" s="9">
        <v>54</v>
      </c>
      <c r="H13" s="9">
        <v>139</v>
      </c>
    </row>
    <row r="14" spans="1:8" ht="20.100000000000001" customHeight="1" thickBot="1" x14ac:dyDescent="0.25">
      <c r="A14" s="3">
        <v>12</v>
      </c>
      <c r="B14" s="9" t="s">
        <v>13</v>
      </c>
      <c r="C14" s="9">
        <f t="shared" si="0"/>
        <v>267</v>
      </c>
      <c r="D14" s="9"/>
      <c r="E14" s="9">
        <v>39</v>
      </c>
      <c r="F14" s="9">
        <v>35</v>
      </c>
      <c r="G14" s="9">
        <v>54</v>
      </c>
      <c r="H14" s="9">
        <v>139</v>
      </c>
    </row>
    <row r="15" spans="1:8" ht="20.100000000000001" customHeight="1" thickBot="1" x14ac:dyDescent="0.25">
      <c r="A15" s="3">
        <v>13</v>
      </c>
      <c r="B15" s="9" t="s">
        <v>30</v>
      </c>
      <c r="C15" s="9">
        <f t="shared" si="0"/>
        <v>39</v>
      </c>
      <c r="D15" s="9"/>
      <c r="E15" s="9">
        <v>39</v>
      </c>
      <c r="F15" s="9"/>
      <c r="G15" s="9"/>
      <c r="H15" s="9"/>
    </row>
    <row r="16" spans="1:8" ht="20.100000000000001" customHeight="1" thickBot="1" x14ac:dyDescent="0.25">
      <c r="A16" s="3">
        <v>14</v>
      </c>
      <c r="B16" s="9" t="s">
        <v>26</v>
      </c>
      <c r="C16" s="9">
        <f t="shared" si="0"/>
        <v>267</v>
      </c>
      <c r="D16" s="9"/>
      <c r="E16" s="9">
        <v>39</v>
      </c>
      <c r="F16" s="9">
        <v>35</v>
      </c>
      <c r="G16" s="9">
        <v>54</v>
      </c>
      <c r="H16" s="9">
        <v>139</v>
      </c>
    </row>
    <row r="17" spans="1:8" ht="20.100000000000001" customHeight="1" thickBot="1" x14ac:dyDescent="0.25">
      <c r="A17" s="3">
        <v>15</v>
      </c>
      <c r="B17" s="9" t="s">
        <v>14</v>
      </c>
      <c r="C17" s="9">
        <f t="shared" si="0"/>
        <v>267</v>
      </c>
      <c r="D17" s="9"/>
      <c r="E17" s="9">
        <v>39</v>
      </c>
      <c r="F17" s="9">
        <v>35</v>
      </c>
      <c r="G17" s="9">
        <v>54</v>
      </c>
      <c r="H17" s="9">
        <v>139</v>
      </c>
    </row>
    <row r="18" spans="1:8" ht="20.100000000000001" customHeight="1" thickBot="1" x14ac:dyDescent="0.25">
      <c r="A18" s="3">
        <v>16</v>
      </c>
      <c r="B18" s="9" t="s">
        <v>53</v>
      </c>
      <c r="C18" s="9">
        <f t="shared" si="0"/>
        <v>228</v>
      </c>
      <c r="D18" s="9"/>
      <c r="E18" s="9"/>
      <c r="F18" s="9">
        <v>35</v>
      </c>
      <c r="G18" s="9">
        <v>54</v>
      </c>
      <c r="H18" s="9">
        <v>139</v>
      </c>
    </row>
    <row r="19" spans="1:8" ht="20.100000000000001" customHeight="1" thickBot="1" x14ac:dyDescent="0.25">
      <c r="A19" s="3">
        <v>17</v>
      </c>
      <c r="B19" s="9" t="s">
        <v>19</v>
      </c>
      <c r="C19" s="9">
        <f t="shared" si="0"/>
        <v>35</v>
      </c>
      <c r="D19" s="9"/>
      <c r="E19" s="9"/>
      <c r="F19" s="9">
        <v>35</v>
      </c>
      <c r="G19" s="9"/>
      <c r="H19" s="9"/>
    </row>
    <row r="20" spans="1:8" ht="20.100000000000001" customHeight="1" thickBot="1" x14ac:dyDescent="0.25">
      <c r="A20" s="3">
        <v>18</v>
      </c>
      <c r="B20" s="9" t="s">
        <v>17</v>
      </c>
      <c r="C20" s="9">
        <f t="shared" si="0"/>
        <v>35</v>
      </c>
      <c r="D20" s="9"/>
      <c r="E20" s="9"/>
      <c r="F20" s="9">
        <v>35</v>
      </c>
      <c r="G20" s="9"/>
      <c r="H20" s="9"/>
    </row>
    <row r="21" spans="1:8" ht="20.100000000000001" customHeight="1" thickBot="1" x14ac:dyDescent="0.25">
      <c r="A21" s="3">
        <v>19</v>
      </c>
      <c r="B21" s="9" t="s">
        <v>28</v>
      </c>
      <c r="C21" s="9">
        <f t="shared" si="0"/>
        <v>174</v>
      </c>
      <c r="D21" s="9"/>
      <c r="E21" s="9"/>
      <c r="F21" s="9">
        <v>35</v>
      </c>
      <c r="G21" s="9"/>
      <c r="H21" s="9">
        <v>139</v>
      </c>
    </row>
    <row r="22" spans="1:8" ht="20.100000000000001" customHeight="1" thickBot="1" x14ac:dyDescent="0.25">
      <c r="A22" s="3">
        <v>20</v>
      </c>
      <c r="B22" s="9" t="s">
        <v>18</v>
      </c>
      <c r="C22" s="9">
        <f t="shared" si="0"/>
        <v>174</v>
      </c>
      <c r="D22" s="9"/>
      <c r="E22" s="9"/>
      <c r="F22" s="9">
        <v>35</v>
      </c>
      <c r="G22" s="9"/>
      <c r="H22" s="9">
        <v>139</v>
      </c>
    </row>
    <row r="23" spans="1:8" ht="20.100000000000001" customHeight="1" thickBot="1" x14ac:dyDescent="0.25">
      <c r="A23" s="3">
        <v>21</v>
      </c>
      <c r="B23" s="9" t="s">
        <v>20</v>
      </c>
      <c r="C23" s="9">
        <f t="shared" si="0"/>
        <v>35</v>
      </c>
      <c r="D23" s="9"/>
      <c r="E23" s="9"/>
      <c r="F23" s="9">
        <v>35</v>
      </c>
      <c r="G23" s="9"/>
      <c r="H23" s="9"/>
    </row>
    <row r="24" spans="1:8" ht="20.100000000000001" customHeight="1" thickBot="1" x14ac:dyDescent="0.25">
      <c r="A24" s="3">
        <v>22</v>
      </c>
      <c r="B24" s="9" t="s">
        <v>27</v>
      </c>
      <c r="C24" s="9">
        <f t="shared" si="0"/>
        <v>35</v>
      </c>
      <c r="D24" s="9"/>
      <c r="E24" s="9"/>
      <c r="F24" s="9">
        <v>35</v>
      </c>
      <c r="G24" s="9"/>
      <c r="H24" s="9"/>
    </row>
    <row r="25" spans="1:8" ht="20.100000000000001" customHeight="1" thickBot="1" x14ac:dyDescent="0.25">
      <c r="A25" s="3">
        <v>23</v>
      </c>
      <c r="B25" s="9" t="s">
        <v>29</v>
      </c>
      <c r="C25" s="9">
        <f t="shared" si="0"/>
        <v>54</v>
      </c>
      <c r="D25" s="9"/>
      <c r="E25" s="9"/>
      <c r="F25" s="9"/>
      <c r="G25" s="9">
        <v>54</v>
      </c>
      <c r="H25" s="9"/>
    </row>
    <row r="26" spans="1:8" ht="20.100000000000001" customHeight="1" thickBot="1" x14ac:dyDescent="0.25">
      <c r="A26" s="3">
        <v>24</v>
      </c>
      <c r="B26" s="9" t="s">
        <v>54</v>
      </c>
      <c r="C26" s="9">
        <f t="shared" si="0"/>
        <v>193</v>
      </c>
      <c r="D26" s="9"/>
      <c r="E26" s="9"/>
      <c r="F26" s="9"/>
      <c r="G26" s="9">
        <v>54</v>
      </c>
      <c r="H26" s="9">
        <v>139</v>
      </c>
    </row>
    <row r="27" spans="1:8" ht="20.100000000000001" customHeight="1" thickBot="1" x14ac:dyDescent="0.25">
      <c r="A27" s="3">
        <v>25</v>
      </c>
      <c r="B27" s="9" t="s">
        <v>12</v>
      </c>
      <c r="C27" s="9">
        <f t="shared" si="0"/>
        <v>54</v>
      </c>
      <c r="D27" s="9"/>
      <c r="E27" s="9"/>
      <c r="F27" s="9"/>
      <c r="G27" s="9">
        <v>54</v>
      </c>
      <c r="H27" s="9"/>
    </row>
    <row r="28" spans="1:8" ht="20.100000000000001" customHeight="1" thickBot="1" x14ac:dyDescent="0.25">
      <c r="A28" s="3">
        <v>26</v>
      </c>
      <c r="B28" s="9" t="s">
        <v>55</v>
      </c>
      <c r="C28" s="9">
        <f t="shared" si="0"/>
        <v>54</v>
      </c>
      <c r="D28" s="9"/>
      <c r="E28" s="9"/>
      <c r="F28" s="9"/>
      <c r="G28" s="9">
        <v>54</v>
      </c>
      <c r="H28" s="9"/>
    </row>
    <row r="29" spans="1:8" ht="20.100000000000001" customHeight="1" thickBot="1" x14ac:dyDescent="0.25">
      <c r="A29" s="3">
        <v>27</v>
      </c>
      <c r="B29" s="9" t="s">
        <v>56</v>
      </c>
      <c r="C29" s="9">
        <f t="shared" si="0"/>
        <v>139</v>
      </c>
      <c r="D29" s="9"/>
      <c r="E29" s="9"/>
      <c r="F29" s="9"/>
      <c r="G29" s="9"/>
      <c r="H29" s="9">
        <v>139</v>
      </c>
    </row>
    <row r="30" spans="1:8" ht="34.5" customHeight="1" x14ac:dyDescent="0.2">
      <c r="B30" s="1" t="s">
        <v>33</v>
      </c>
      <c r="C30" s="1">
        <f>SUM(C3:C29)</f>
        <v>3920</v>
      </c>
    </row>
  </sheetData>
  <mergeCells count="1">
    <mergeCell ref="B1:G1"/>
  </mergeCells>
  <phoneticPr fontId="1" type="noConversion"/>
  <conditionalFormatting sqref="B1 B30:B1048576">
    <cfRule type="duplicateValues" dxfId="4" priority="1"/>
  </conditionalFormatting>
  <conditionalFormatting sqref="B30:B1048576"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2026-09-29T10:02:10Z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