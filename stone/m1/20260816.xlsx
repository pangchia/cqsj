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0966CA3E-105E-4668-B11C-4309B2DE8AC1}" xr6:coauthVersionLast="47" xr6:coauthVersionMax="47" xr10:uidLastSave="{00000000-0000-0000-0000-000000000000}"/>
  <bookViews>
    <workbookView xWindow="4185" yWindow="795" windowWidth="25725" windowHeight="19995" activeTab="1" xr2:uid="{00000000-000D-0000-FFFF-FFFF00000000}"/>
  </bookViews>
  <sheets>
    <sheet name="产出" sheetId="1" r:id="rId1"/>
    <sheet name="分配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2" l="1"/>
  <c r="D9" i="1"/>
</calcChain>
</file>

<file path=xl/sharedStrings.xml><?xml version="1.0" encoding="utf-8"?>
<sst xmlns="http://schemas.openxmlformats.org/spreadsheetml/2006/main" count="79" uniqueCount="70">
  <si>
    <t>人员</t>
  </si>
  <si>
    <t>累计应发放</t>
  </si>
  <si>
    <t>领取</t>
  </si>
  <si>
    <t>抚琴</t>
  </si>
  <si>
    <t>与市无争</t>
  </si>
  <si>
    <t>皇族酷</t>
  </si>
  <si>
    <t>无悔</t>
  </si>
  <si>
    <t>虹之间</t>
  </si>
  <si>
    <t>法紫山</t>
  </si>
  <si>
    <t>你好朋友</t>
  </si>
  <si>
    <t>天地君</t>
  </si>
  <si>
    <t>kk123</t>
  </si>
  <si>
    <t>空白系</t>
  </si>
  <si>
    <t>大虾</t>
  </si>
  <si>
    <t>法之魅</t>
  </si>
  <si>
    <t>桃白白</t>
  </si>
  <si>
    <t>紫轩唐悦</t>
  </si>
  <si>
    <t>产出</t>
  </si>
  <si>
    <t>总人数</t>
  </si>
  <si>
    <t>行会账户A</t>
  </si>
  <si>
    <t>胡萝卜</t>
  </si>
  <si>
    <t>风云无情</t>
  </si>
  <si>
    <t>惊鸿</t>
  </si>
  <si>
    <t>飘零</t>
  </si>
  <si>
    <t>序号</t>
    <phoneticPr fontId="1" type="noConversion"/>
  </si>
  <si>
    <t>     时间与地图     </t>
  </si>
  <si>
    <t>鼻嗅爱</t>
  </si>
  <si>
    <t>申妙彤</t>
  </si>
  <si>
    <t>花无双</t>
  </si>
  <si>
    <t>传说小胖</t>
  </si>
  <si>
    <t>幸福道人</t>
  </si>
  <si>
    <t>     每人     </t>
  </si>
  <si>
    <t>朱沅</t>
  </si>
  <si>
    <t>0815~0816集体产出</t>
  </si>
  <si>
    <t>0815 - 从 1000 ~ 1800 时间段</t>
  </si>
  <si>
    <t>顺延到下次分配</t>
  </si>
  <si>
    <r>
      <t>次逆魔</t>
    </r>
    <r>
      <rPr>
        <i/>
        <sz val="11"/>
        <color rgb="FF000000"/>
        <rFont val="Segoe UI"/>
        <family val="2"/>
      </rPr>
      <t>5=150+逆魔</t>
    </r>
    <r>
      <rPr>
        <sz val="11"/>
        <color rgb="FF000000"/>
        <rFont val="Segoe UI"/>
        <family val="2"/>
      </rPr>
      <t>2=150+战神150（魔杖、幽灵战甲，绿色项链、灼烧）235=685通宝</t>
    </r>
  </si>
  <si>
    <t>-</t>
  </si>
  <si>
    <t>0816 - 1000 - 魔7</t>
  </si>
  <si>
    <t>行会账户A、 飘零、 执笔写人生 、 kk123、 惊鸿、 双花、 法之魅、 28、 抚琴、 风云无情、 趴下、 与市无争、 皇族酷、 幸福道人、 桃白白、 无悔、 灵安子默、朱沅、 你好朋友、 紫轩唐悦、 Dean、 曙光来临(删除)</t>
  </si>
  <si>
    <t>顺延上一场 685， 5逆4次=495+绑定勇武100+天尊腰带150+勇武150 通八产出一半112 合计：1692</t>
  </si>
  <si>
    <t>80 (余 12 )</t>
  </si>
  <si>
    <t>0816 - 1600 - 禁地魔王</t>
  </si>
  <si>
    <t>行会账户A、 皇族酷、 朱沅、 桃白白、花无双、 幸福道人、 传说小胖、 小宇、 你好朋友、 28、 无悔、 飘零、 kk123、 与市无争、 法之魅、 惊鸿 、无妄绝尘、 申妙彤</t>
  </si>
  <si>
    <t>产值：龙纹1950（kk123)、法神腰带150（小宇）、魔法盾90（皇族酷）、秦坦戒指75（皇族酷），合计2265 + (15:00 1逆魔1次逆魔, ) = 2370</t>
  </si>
  <si>
    <t>131 (余 12)</t>
  </si>
  <si>
    <t>0816 - 2100 - 魔6</t>
  </si>
  <si>
    <t>行会账户A、 皇族酷、 无悔 、幸福道人、 28 、 弑神刀X(删除) 、桃白白、 Dean、 与市无争、 天地君、 虹之间、 紫轩唐悦、 法紫山、 胡萝卜、 抚琴、 大虾、 惊鸿、 花无双、 法之魅、 你好朋友</t>
  </si>
  <si>
    <t>累计召唤神兽400+180+200（怒）+120（连珠爆符）+3逆魔225+80（魔法盾）=1205</t>
  </si>
  <si>
    <t>63 (余 8 )</t>
  </si>
  <si>
    <t>0816 - 2200 - 禁地魔王</t>
  </si>
  <si>
    <t>行会账户A、 笨笨鸟、 法之魅、 天地君、 空白系、 紫轩唐悦、 皇族酷、 虹之间、 幸福道人、 飘零、 Dean、 你好朋友、 鼻嗅爱、 传说小胖</t>
  </si>
  <si>
    <t>圣战靴子（小胖）、龙鳞手镯 = 150+75=225</t>
  </si>
  <si>
    <t>16 (余 1 )</t>
  </si>
  <si>
    <t>执笔写人生</t>
  </si>
  <si>
    <t>双花</t>
  </si>
  <si>
    <t>趴下</t>
  </si>
  <si>
    <t>灵安子默</t>
  </si>
  <si>
    <t>Dean</t>
  </si>
  <si>
    <t>小宇</t>
  </si>
  <si>
    <t>无妄绝尘</t>
  </si>
  <si>
    <t>笨笨鸟</t>
  </si>
  <si>
    <t>合计</t>
    <phoneticPr fontId="1" type="noConversion"/>
  </si>
  <si>
    <t>0815 - 1000 - 魔7</t>
  </si>
  <si>
    <t>行会账户A、 抚琴、 子默，28、 执笔写人生、 花无双、 无情 、 法之魅、 大钢棒、 桃白白、 飘零、 法紫山、 胡萝卜、 皇族酷、 惊鸿、 无悔、 你好朋友、 趴下</t>
  </si>
  <si>
    <t>483通宝+圣战戒指的一半(225) =708</t>
  </si>
  <si>
    <t>39 (余 6 )</t>
  </si>
  <si>
    <t>     总收入    </t>
  </si>
  <si>
    <t>大钢棒</t>
  </si>
  <si>
    <r>
      <t>0815~0816</t>
    </r>
    <r>
      <rPr>
        <b/>
        <sz val="15"/>
        <color rgb="FF000000"/>
        <rFont val="宋体"/>
        <family val="2"/>
        <charset val="134"/>
      </rPr>
      <t>集体产出</t>
    </r>
    <r>
      <rPr>
        <b/>
        <sz val="15"/>
        <color rgb="FF000000"/>
        <rFont val="Segoe UI"/>
        <family val="2"/>
      </rPr>
      <t xml:space="preserve">  6200  ( </t>
    </r>
    <r>
      <rPr>
        <b/>
        <sz val="15"/>
        <color rgb="FF000000"/>
        <rFont val="宋体"/>
        <family val="2"/>
        <charset val="134"/>
      </rPr>
      <t>实际分配</t>
    </r>
    <r>
      <rPr>
        <b/>
        <sz val="15"/>
        <color rgb="FF000000"/>
        <rFont val="Segoe UI"/>
        <family val="2"/>
      </rPr>
      <t xml:space="preserve">  6161 ) 
</t>
    </r>
    <r>
      <rPr>
        <b/>
        <sz val="15"/>
        <color rgb="FF000000"/>
        <rFont val="微软雅黑"/>
        <family val="2"/>
        <charset val="134"/>
      </rPr>
      <t>行会账户</t>
    </r>
    <r>
      <rPr>
        <b/>
        <sz val="15"/>
        <color rgb="FF000000"/>
        <rFont val="Segoe UI"/>
        <family val="2"/>
      </rPr>
      <t xml:space="preserve">A </t>
    </r>
    <r>
      <rPr>
        <b/>
        <sz val="15"/>
        <color rgb="FF000000"/>
        <rFont val="微软雅黑"/>
        <family val="2"/>
        <charset val="134"/>
      </rPr>
      <t>往期结存</t>
    </r>
    <r>
      <rPr>
        <b/>
        <sz val="15"/>
        <color rgb="FF000000"/>
        <rFont val="Segoe UI"/>
        <family val="2"/>
      </rPr>
      <t xml:space="preserve">  ( 909 + 154 =  1163   - 300</t>
    </r>
    <r>
      <rPr>
        <b/>
        <sz val="15"/>
        <color rgb="FF000000"/>
        <rFont val="微软雅黑"/>
        <family val="2"/>
        <charset val="134"/>
      </rPr>
      <t>（大虾龙纹）</t>
    </r>
    <r>
      <rPr>
        <b/>
        <sz val="15"/>
        <color rgb="FF000000"/>
        <rFont val="Segoe UI"/>
        <family val="2"/>
      </rPr>
      <t xml:space="preserve"> = 863 )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</si>
</sst>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rgb="FF000000"/>
      <name val="Segoe UI"/>
      <family val="2"/>
    </font>
    <font>
      <i/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b/>
      <sz val="15"/>
      <color rgb="FF000000"/>
      <name val="Segoe UI"/>
      <family val="2"/>
    </font>
    <font>
      <b/>
      <sz val="15"/>
      <color rgb="FF000000"/>
      <name val="宋体"/>
      <family val="2"/>
      <charset val="134"/>
    </font>
    <font>
      <b/>
      <sz val="15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15" zoomScaleNormal="115" workbookViewId="0">
      <selection activeCell="C18" sqref="C18"/>
    </sheetView>
  </sheetViews>
  <sheetFormatPr defaultRowHeight="14.25" x14ac:dyDescent="0.2"/>
  <cols>
    <col min="1" max="1" width="25.875" customWidth="1"/>
    <col min="2" max="2" width="47.5" customWidth="1"/>
    <col min="3" max="3" width="47.875" customWidth="1"/>
    <col min="4" max="4" width="9" style="2"/>
    <col min="5" max="5" width="7.125" style="2" customWidth="1"/>
    <col min="6" max="6" width="12.125" style="2" customWidth="1"/>
  </cols>
  <sheetData>
    <row r="1" spans="1:6" ht="30.75" customHeight="1" thickBot="1" x14ac:dyDescent="0.25">
      <c r="A1" s="10" t="s">
        <v>33</v>
      </c>
      <c r="B1" s="10"/>
      <c r="C1" s="10"/>
      <c r="D1" s="10"/>
      <c r="E1" s="10"/>
      <c r="F1" s="10"/>
    </row>
    <row r="2" spans="1:6" ht="33.75" thickBot="1" x14ac:dyDescent="0.25">
      <c r="A2" s="5" t="s">
        <v>25</v>
      </c>
      <c r="B2" s="5" t="s">
        <v>0</v>
      </c>
      <c r="C2" s="5" t="s">
        <v>17</v>
      </c>
      <c r="D2" s="5" t="s">
        <v>67</v>
      </c>
      <c r="E2" s="5" t="s">
        <v>18</v>
      </c>
      <c r="F2" s="5" t="s">
        <v>31</v>
      </c>
    </row>
    <row r="3" spans="1:6" ht="50.25" thickBot="1" x14ac:dyDescent="0.25">
      <c r="A3" s="4" t="s">
        <v>63</v>
      </c>
      <c r="B3" s="4" t="s">
        <v>64</v>
      </c>
      <c r="C3" s="4" t="s">
        <v>65</v>
      </c>
      <c r="D3" s="4">
        <v>708</v>
      </c>
      <c r="E3" s="4">
        <v>18</v>
      </c>
      <c r="F3" s="4" t="s">
        <v>66</v>
      </c>
    </row>
    <row r="4" spans="1:6" ht="33.75" thickBot="1" x14ac:dyDescent="0.25">
      <c r="A4" s="8" t="s">
        <v>34</v>
      </c>
      <c r="B4" s="8" t="s">
        <v>35</v>
      </c>
      <c r="C4" s="8" t="s">
        <v>36</v>
      </c>
      <c r="D4" s="8">
        <v>685</v>
      </c>
      <c r="E4" s="8" t="s">
        <v>37</v>
      </c>
      <c r="F4" s="8" t="s">
        <v>37</v>
      </c>
    </row>
    <row r="5" spans="1:6" ht="66.75" thickBot="1" x14ac:dyDescent="0.25">
      <c r="A5" s="4" t="s">
        <v>38</v>
      </c>
      <c r="B5" s="4" t="s">
        <v>39</v>
      </c>
      <c r="C5" s="4" t="s">
        <v>40</v>
      </c>
      <c r="D5" s="4">
        <v>1692</v>
      </c>
      <c r="E5" s="4">
        <v>21</v>
      </c>
      <c r="F5" s="4" t="s">
        <v>41</v>
      </c>
    </row>
    <row r="6" spans="1:6" ht="50.25" thickBot="1" x14ac:dyDescent="0.25">
      <c r="A6" s="6" t="s">
        <v>42</v>
      </c>
      <c r="B6" s="6" t="s">
        <v>43</v>
      </c>
      <c r="C6" s="6" t="s">
        <v>44</v>
      </c>
      <c r="D6" s="6">
        <v>2370</v>
      </c>
      <c r="E6" s="6">
        <v>18</v>
      </c>
      <c r="F6" s="6" t="s">
        <v>45</v>
      </c>
    </row>
    <row r="7" spans="1:6" ht="66.75" thickBot="1" x14ac:dyDescent="0.25">
      <c r="A7" s="4" t="s">
        <v>46</v>
      </c>
      <c r="B7" s="4" t="s">
        <v>47</v>
      </c>
      <c r="C7" s="4" t="s">
        <v>48</v>
      </c>
      <c r="D7" s="4">
        <v>1205</v>
      </c>
      <c r="E7" s="4">
        <v>19</v>
      </c>
      <c r="F7" s="4" t="s">
        <v>49</v>
      </c>
    </row>
    <row r="8" spans="1:6" ht="50.25" thickBot="1" x14ac:dyDescent="0.25">
      <c r="A8" s="6" t="s">
        <v>50</v>
      </c>
      <c r="B8" s="6" t="s">
        <v>51</v>
      </c>
      <c r="C8" s="6" t="s">
        <v>52</v>
      </c>
      <c r="D8" s="6">
        <v>225</v>
      </c>
      <c r="E8" s="6">
        <v>14</v>
      </c>
      <c r="F8" s="6" t="s">
        <v>53</v>
      </c>
    </row>
    <row r="9" spans="1:6" x14ac:dyDescent="0.2">
      <c r="C9" s="9" t="s">
        <v>62</v>
      </c>
      <c r="D9" s="2">
        <f>SUM(D5:D8)+D3</f>
        <v>6200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40B-26C5-4535-B0A4-CE5D0840E246}">
  <dimension ref="A1:I39"/>
  <sheetViews>
    <sheetView tabSelected="1" zoomScaleNormal="100" workbookViewId="0">
      <selection sqref="A1:XFD1048576"/>
    </sheetView>
  </sheetViews>
  <sheetFormatPr defaultRowHeight="14.25" x14ac:dyDescent="0.2"/>
  <cols>
    <col min="1" max="1" width="9" style="1" customWidth="1"/>
    <col min="2" max="2" width="32.125" style="1" customWidth="1"/>
    <col min="3" max="3" width="22.625" style="1" customWidth="1"/>
    <col min="4" max="4" width="21.625" style="1" customWidth="1"/>
    <col min="5" max="5" width="12.875" style="1" customWidth="1"/>
    <col min="6" max="6" width="15.125" style="1" customWidth="1"/>
    <col min="7" max="7" width="15.5" style="1" customWidth="1"/>
    <col min="8" max="16384" width="9" style="1"/>
  </cols>
  <sheetData>
    <row r="1" spans="1:9" ht="48" customHeight="1" thickBot="1" x14ac:dyDescent="0.25">
      <c r="B1" s="11" t="s">
        <v>69</v>
      </c>
      <c r="C1" s="11"/>
      <c r="D1" s="11"/>
      <c r="E1" s="11"/>
      <c r="F1" s="11"/>
      <c r="G1" s="11"/>
      <c r="H1" s="11"/>
      <c r="I1" s="11"/>
    </row>
    <row r="2" spans="1:9" ht="33.75" thickBot="1" x14ac:dyDescent="0.25">
      <c r="A2" s="12" t="s">
        <v>24</v>
      </c>
      <c r="B2" s="13" t="s">
        <v>0</v>
      </c>
      <c r="C2" s="13" t="s">
        <v>63</v>
      </c>
      <c r="D2" s="13" t="s">
        <v>38</v>
      </c>
      <c r="E2" s="13" t="s">
        <v>42</v>
      </c>
      <c r="F2" s="13" t="s">
        <v>46</v>
      </c>
      <c r="G2" s="13" t="s">
        <v>50</v>
      </c>
      <c r="H2" s="13" t="s">
        <v>1</v>
      </c>
      <c r="I2" s="13" t="s">
        <v>2</v>
      </c>
    </row>
    <row r="3" spans="1:9" ht="17.25" thickBot="1" x14ac:dyDescent="0.25">
      <c r="A3" s="7">
        <v>1</v>
      </c>
      <c r="B3" s="13" t="s">
        <v>19</v>
      </c>
      <c r="C3" s="13">
        <v>39</v>
      </c>
      <c r="D3" s="13">
        <v>80</v>
      </c>
      <c r="E3" s="13">
        <v>131</v>
      </c>
      <c r="F3" s="13">
        <v>63</v>
      </c>
      <c r="G3" s="13">
        <v>16</v>
      </c>
      <c r="H3" s="13">
        <v>329</v>
      </c>
      <c r="I3" s="13"/>
    </row>
    <row r="4" spans="1:9" ht="17.25" thickBot="1" x14ac:dyDescent="0.25">
      <c r="A4" s="7">
        <v>2</v>
      </c>
      <c r="B4" s="14" t="s">
        <v>23</v>
      </c>
      <c r="C4" s="14">
        <v>39</v>
      </c>
      <c r="D4" s="14">
        <v>80</v>
      </c>
      <c r="E4" s="14">
        <v>131</v>
      </c>
      <c r="F4" s="14"/>
      <c r="G4" s="14">
        <v>16</v>
      </c>
      <c r="H4" s="14">
        <v>266</v>
      </c>
      <c r="I4" s="14"/>
    </row>
    <row r="5" spans="1:9" ht="17.25" thickBot="1" x14ac:dyDescent="0.25">
      <c r="A5" s="7">
        <v>3</v>
      </c>
      <c r="B5" s="13" t="s">
        <v>54</v>
      </c>
      <c r="C5" s="13">
        <v>39</v>
      </c>
      <c r="D5" s="13">
        <v>80</v>
      </c>
      <c r="E5" s="13"/>
      <c r="F5" s="13"/>
      <c r="G5" s="13"/>
      <c r="H5" s="13">
        <v>119</v>
      </c>
      <c r="I5" s="13"/>
    </row>
    <row r="6" spans="1:9" ht="17.25" thickBot="1" x14ac:dyDescent="0.25">
      <c r="A6" s="7">
        <v>4</v>
      </c>
      <c r="B6" s="14" t="s">
        <v>11</v>
      </c>
      <c r="C6" s="14"/>
      <c r="D6" s="14">
        <v>80</v>
      </c>
      <c r="E6" s="14">
        <v>131</v>
      </c>
      <c r="F6" s="14"/>
      <c r="G6" s="14"/>
      <c r="H6" s="14">
        <v>211</v>
      </c>
      <c r="I6" s="14"/>
    </row>
    <row r="7" spans="1:9" ht="17.25" thickBot="1" x14ac:dyDescent="0.25">
      <c r="A7" s="7">
        <v>5</v>
      </c>
      <c r="B7" s="13" t="s">
        <v>22</v>
      </c>
      <c r="C7" s="13">
        <v>39</v>
      </c>
      <c r="D7" s="13">
        <v>80</v>
      </c>
      <c r="E7" s="13">
        <v>131</v>
      </c>
      <c r="F7" s="13">
        <v>63</v>
      </c>
      <c r="G7" s="13"/>
      <c r="H7" s="13">
        <v>313</v>
      </c>
      <c r="I7" s="13"/>
    </row>
    <row r="8" spans="1:9" ht="17.25" thickBot="1" x14ac:dyDescent="0.25">
      <c r="A8" s="7">
        <v>6</v>
      </c>
      <c r="B8" s="14" t="s">
        <v>55</v>
      </c>
      <c r="C8" s="14"/>
      <c r="D8" s="14">
        <v>80</v>
      </c>
      <c r="E8" s="14"/>
      <c r="F8" s="14"/>
      <c r="G8" s="14"/>
      <c r="H8" s="14">
        <v>80</v>
      </c>
      <c r="I8" s="14"/>
    </row>
    <row r="9" spans="1:9" ht="17.25" thickBot="1" x14ac:dyDescent="0.25">
      <c r="A9" s="7">
        <v>7</v>
      </c>
      <c r="B9" s="13" t="s">
        <v>14</v>
      </c>
      <c r="C9" s="13">
        <v>39</v>
      </c>
      <c r="D9" s="13">
        <v>80</v>
      </c>
      <c r="E9" s="13">
        <v>131</v>
      </c>
      <c r="F9" s="13">
        <v>63</v>
      </c>
      <c r="G9" s="13">
        <v>16</v>
      </c>
      <c r="H9" s="13">
        <v>329</v>
      </c>
      <c r="I9" s="13"/>
    </row>
    <row r="10" spans="1:9" ht="17.25" thickBot="1" x14ac:dyDescent="0.25">
      <c r="A10" s="7">
        <v>8</v>
      </c>
      <c r="B10" s="14">
        <v>28</v>
      </c>
      <c r="C10" s="14">
        <v>39</v>
      </c>
      <c r="D10" s="14">
        <v>80</v>
      </c>
      <c r="E10" s="14">
        <v>131</v>
      </c>
      <c r="F10" s="14">
        <v>63</v>
      </c>
      <c r="G10" s="14"/>
      <c r="H10" s="14">
        <v>313</v>
      </c>
      <c r="I10" s="14"/>
    </row>
    <row r="11" spans="1:9" ht="17.25" thickBot="1" x14ac:dyDescent="0.25">
      <c r="A11" s="7">
        <v>9</v>
      </c>
      <c r="B11" s="13" t="s">
        <v>3</v>
      </c>
      <c r="C11" s="13">
        <v>39</v>
      </c>
      <c r="D11" s="13">
        <v>80</v>
      </c>
      <c r="E11" s="13"/>
      <c r="F11" s="13">
        <v>63</v>
      </c>
      <c r="G11" s="13"/>
      <c r="H11" s="13">
        <v>182</v>
      </c>
      <c r="I11" s="13"/>
    </row>
    <row r="12" spans="1:9" ht="17.25" thickBot="1" x14ac:dyDescent="0.25">
      <c r="A12" s="7">
        <v>10</v>
      </c>
      <c r="B12" s="14" t="s">
        <v>21</v>
      </c>
      <c r="C12" s="14">
        <v>39</v>
      </c>
      <c r="D12" s="14">
        <v>80</v>
      </c>
      <c r="E12" s="14"/>
      <c r="F12" s="14"/>
      <c r="G12" s="14"/>
      <c r="H12" s="14">
        <v>119</v>
      </c>
      <c r="I12" s="14"/>
    </row>
    <row r="13" spans="1:9" ht="17.25" thickBot="1" x14ac:dyDescent="0.25">
      <c r="A13" s="7">
        <v>11</v>
      </c>
      <c r="B13" s="13" t="s">
        <v>56</v>
      </c>
      <c r="C13" s="13"/>
      <c r="D13" s="13">
        <v>80</v>
      </c>
      <c r="E13" s="13"/>
      <c r="F13" s="13"/>
      <c r="G13" s="13"/>
      <c r="H13" s="13">
        <v>80</v>
      </c>
      <c r="I13" s="13"/>
    </row>
    <row r="14" spans="1:9" ht="17.25" thickBot="1" x14ac:dyDescent="0.25">
      <c r="A14" s="7">
        <v>12</v>
      </c>
      <c r="B14" s="14" t="s">
        <v>4</v>
      </c>
      <c r="C14" s="14"/>
      <c r="D14" s="14">
        <v>80</v>
      </c>
      <c r="E14" s="14">
        <v>131</v>
      </c>
      <c r="F14" s="14">
        <v>63</v>
      </c>
      <c r="G14" s="14"/>
      <c r="H14" s="14">
        <v>274</v>
      </c>
      <c r="I14" s="14"/>
    </row>
    <row r="15" spans="1:9" ht="17.25" thickBot="1" x14ac:dyDescent="0.25">
      <c r="A15" s="7">
        <v>13</v>
      </c>
      <c r="B15" s="13" t="s">
        <v>5</v>
      </c>
      <c r="C15" s="13">
        <v>39</v>
      </c>
      <c r="D15" s="13">
        <v>80</v>
      </c>
      <c r="E15" s="13">
        <v>131</v>
      </c>
      <c r="F15" s="13">
        <v>63</v>
      </c>
      <c r="G15" s="13">
        <v>16</v>
      </c>
      <c r="H15" s="13">
        <v>329</v>
      </c>
      <c r="I15" s="13"/>
    </row>
    <row r="16" spans="1:9" ht="17.25" thickBot="1" x14ac:dyDescent="0.25">
      <c r="A16" s="7">
        <v>14</v>
      </c>
      <c r="B16" s="14" t="s">
        <v>30</v>
      </c>
      <c r="C16" s="14"/>
      <c r="D16" s="14">
        <v>80</v>
      </c>
      <c r="E16" s="14">
        <v>131</v>
      </c>
      <c r="F16" s="14">
        <v>63</v>
      </c>
      <c r="G16" s="14">
        <v>16</v>
      </c>
      <c r="H16" s="14">
        <v>290</v>
      </c>
      <c r="I16" s="14"/>
    </row>
    <row r="17" spans="1:9" ht="17.25" thickBot="1" x14ac:dyDescent="0.25">
      <c r="A17" s="7">
        <v>15</v>
      </c>
      <c r="B17" s="13" t="s">
        <v>15</v>
      </c>
      <c r="C17" s="13">
        <v>39</v>
      </c>
      <c r="D17" s="13">
        <v>80</v>
      </c>
      <c r="E17" s="13">
        <v>131</v>
      </c>
      <c r="F17" s="13">
        <v>63</v>
      </c>
      <c r="G17" s="13"/>
      <c r="H17" s="13">
        <v>313</v>
      </c>
      <c r="I17" s="13"/>
    </row>
    <row r="18" spans="1:9" ht="17.25" thickBot="1" x14ac:dyDescent="0.25">
      <c r="A18" s="7">
        <v>16</v>
      </c>
      <c r="B18" s="14" t="s">
        <v>6</v>
      </c>
      <c r="C18" s="14">
        <v>39</v>
      </c>
      <c r="D18" s="14">
        <v>80</v>
      </c>
      <c r="E18" s="14">
        <v>131</v>
      </c>
      <c r="F18" s="14">
        <v>63</v>
      </c>
      <c r="G18" s="14"/>
      <c r="H18" s="14">
        <v>313</v>
      </c>
      <c r="I18" s="14"/>
    </row>
    <row r="19" spans="1:9" ht="17.25" thickBot="1" x14ac:dyDescent="0.25">
      <c r="A19" s="7">
        <v>17</v>
      </c>
      <c r="B19" s="13" t="s">
        <v>57</v>
      </c>
      <c r="C19" s="13">
        <v>39</v>
      </c>
      <c r="D19" s="13">
        <v>80</v>
      </c>
      <c r="E19" s="13"/>
      <c r="F19" s="13"/>
      <c r="G19" s="13"/>
      <c r="H19" s="13">
        <v>119</v>
      </c>
      <c r="I19" s="13"/>
    </row>
    <row r="20" spans="1:9" ht="17.25" thickBot="1" x14ac:dyDescent="0.25">
      <c r="A20" s="7">
        <v>18</v>
      </c>
      <c r="B20" s="14" t="s">
        <v>32</v>
      </c>
      <c r="C20" s="14"/>
      <c r="D20" s="14">
        <v>80</v>
      </c>
      <c r="E20" s="14">
        <v>131</v>
      </c>
      <c r="F20" s="14"/>
      <c r="G20" s="14"/>
      <c r="H20" s="14">
        <v>211</v>
      </c>
      <c r="I20" s="14"/>
    </row>
    <row r="21" spans="1:9" ht="17.25" thickBot="1" x14ac:dyDescent="0.25">
      <c r="A21" s="7">
        <v>19</v>
      </c>
      <c r="B21" s="13" t="s">
        <v>9</v>
      </c>
      <c r="C21" s="13">
        <v>39</v>
      </c>
      <c r="D21" s="13">
        <v>80</v>
      </c>
      <c r="E21" s="13">
        <v>131</v>
      </c>
      <c r="F21" s="13">
        <v>63</v>
      </c>
      <c r="G21" s="13">
        <v>16</v>
      </c>
      <c r="H21" s="13">
        <v>329</v>
      </c>
      <c r="I21" s="13"/>
    </row>
    <row r="22" spans="1:9" ht="17.25" thickBot="1" x14ac:dyDescent="0.25">
      <c r="A22" s="7">
        <v>20</v>
      </c>
      <c r="B22" s="14" t="s">
        <v>16</v>
      </c>
      <c r="C22" s="14"/>
      <c r="D22" s="14">
        <v>80</v>
      </c>
      <c r="E22" s="14"/>
      <c r="F22" s="14">
        <v>63</v>
      </c>
      <c r="G22" s="14">
        <v>16</v>
      </c>
      <c r="H22" s="14">
        <v>159</v>
      </c>
      <c r="I22" s="14"/>
    </row>
    <row r="23" spans="1:9" ht="17.25" thickBot="1" x14ac:dyDescent="0.25">
      <c r="A23" s="7">
        <v>21</v>
      </c>
      <c r="B23" s="13" t="s">
        <v>58</v>
      </c>
      <c r="C23" s="13"/>
      <c r="D23" s="13">
        <v>80</v>
      </c>
      <c r="E23" s="13"/>
      <c r="F23" s="13">
        <v>63</v>
      </c>
      <c r="G23" s="13">
        <v>16</v>
      </c>
      <c r="H23" s="13">
        <v>159</v>
      </c>
      <c r="I23" s="13"/>
    </row>
    <row r="24" spans="1:9" ht="17.25" thickBot="1" x14ac:dyDescent="0.25">
      <c r="A24" s="7">
        <v>22</v>
      </c>
      <c r="B24" s="14" t="s">
        <v>28</v>
      </c>
      <c r="C24" s="14">
        <v>39</v>
      </c>
      <c r="D24" s="14"/>
      <c r="E24" s="14">
        <v>131</v>
      </c>
      <c r="F24" s="14">
        <v>63</v>
      </c>
      <c r="G24" s="14"/>
      <c r="H24" s="14">
        <v>233</v>
      </c>
      <c r="I24" s="14"/>
    </row>
    <row r="25" spans="1:9" ht="17.25" thickBot="1" x14ac:dyDescent="0.25">
      <c r="A25" s="7">
        <v>23</v>
      </c>
      <c r="B25" s="13" t="s">
        <v>29</v>
      </c>
      <c r="C25" s="13"/>
      <c r="D25" s="13"/>
      <c r="E25" s="13">
        <v>131</v>
      </c>
      <c r="F25" s="13"/>
      <c r="G25" s="13">
        <v>16</v>
      </c>
      <c r="H25" s="13">
        <v>147</v>
      </c>
      <c r="I25" s="13"/>
    </row>
    <row r="26" spans="1:9" ht="17.25" thickBot="1" x14ac:dyDescent="0.25">
      <c r="A26" s="7">
        <v>24</v>
      </c>
      <c r="B26" s="14" t="s">
        <v>59</v>
      </c>
      <c r="C26" s="14"/>
      <c r="D26" s="14"/>
      <c r="E26" s="14">
        <v>131</v>
      </c>
      <c r="F26" s="14"/>
      <c r="G26" s="14"/>
      <c r="H26" s="14">
        <v>131</v>
      </c>
      <c r="I26" s="14"/>
    </row>
    <row r="27" spans="1:9" ht="17.25" thickBot="1" x14ac:dyDescent="0.25">
      <c r="A27" s="7">
        <v>25</v>
      </c>
      <c r="B27" s="13" t="s">
        <v>60</v>
      </c>
      <c r="C27" s="13"/>
      <c r="D27" s="13"/>
      <c r="E27" s="13">
        <v>131</v>
      </c>
      <c r="F27" s="13"/>
      <c r="G27" s="13"/>
      <c r="H27" s="13">
        <v>131</v>
      </c>
      <c r="I27" s="13"/>
    </row>
    <row r="28" spans="1:9" ht="17.25" thickBot="1" x14ac:dyDescent="0.25">
      <c r="A28" s="7">
        <v>26</v>
      </c>
      <c r="B28" s="14" t="s">
        <v>27</v>
      </c>
      <c r="C28" s="14"/>
      <c r="D28" s="14"/>
      <c r="E28" s="14">
        <v>131</v>
      </c>
      <c r="F28" s="14"/>
      <c r="G28" s="14"/>
      <c r="H28" s="14">
        <v>131</v>
      </c>
      <c r="I28" s="14"/>
    </row>
    <row r="29" spans="1:9" ht="17.25" thickBot="1" x14ac:dyDescent="0.25">
      <c r="A29" s="7">
        <v>27</v>
      </c>
      <c r="B29" s="13" t="s">
        <v>10</v>
      </c>
      <c r="C29" s="13"/>
      <c r="D29" s="13"/>
      <c r="E29" s="13"/>
      <c r="F29" s="13">
        <v>63</v>
      </c>
      <c r="G29" s="13">
        <v>16</v>
      </c>
      <c r="H29" s="13">
        <v>79</v>
      </c>
      <c r="I29" s="13"/>
    </row>
    <row r="30" spans="1:9" ht="17.25" thickBot="1" x14ac:dyDescent="0.25">
      <c r="A30" s="7">
        <v>28</v>
      </c>
      <c r="B30" s="14" t="s">
        <v>7</v>
      </c>
      <c r="C30" s="14"/>
      <c r="D30" s="14"/>
      <c r="E30" s="14"/>
      <c r="F30" s="14">
        <v>63</v>
      </c>
      <c r="G30" s="14">
        <v>16</v>
      </c>
      <c r="H30" s="14">
        <v>79</v>
      </c>
      <c r="I30" s="14"/>
    </row>
    <row r="31" spans="1:9" ht="17.25" thickBot="1" x14ac:dyDescent="0.25">
      <c r="A31" s="7">
        <v>29</v>
      </c>
      <c r="B31" s="13" t="s">
        <v>8</v>
      </c>
      <c r="C31" s="13">
        <v>39</v>
      </c>
      <c r="D31" s="13"/>
      <c r="E31" s="13"/>
      <c r="F31" s="13">
        <v>63</v>
      </c>
      <c r="G31" s="13"/>
      <c r="H31" s="13">
        <v>102</v>
      </c>
      <c r="I31" s="13"/>
    </row>
    <row r="32" spans="1:9" ht="17.25" thickBot="1" x14ac:dyDescent="0.25">
      <c r="A32" s="7">
        <v>30</v>
      </c>
      <c r="B32" s="14" t="s">
        <v>20</v>
      </c>
      <c r="C32" s="14">
        <v>39</v>
      </c>
      <c r="D32" s="14"/>
      <c r="E32" s="14"/>
      <c r="F32" s="14">
        <v>63</v>
      </c>
      <c r="G32" s="14"/>
      <c r="H32" s="14">
        <v>102</v>
      </c>
      <c r="I32" s="14"/>
    </row>
    <row r="33" spans="1:9" ht="17.25" thickBot="1" x14ac:dyDescent="0.25">
      <c r="A33" s="7">
        <v>31</v>
      </c>
      <c r="B33" s="13" t="s">
        <v>13</v>
      </c>
      <c r="C33" s="13"/>
      <c r="D33" s="13"/>
      <c r="E33" s="13"/>
      <c r="F33" s="13">
        <v>63</v>
      </c>
      <c r="G33" s="13"/>
      <c r="H33" s="13">
        <v>63</v>
      </c>
      <c r="I33" s="13"/>
    </row>
    <row r="34" spans="1:9" ht="17.25" thickBot="1" x14ac:dyDescent="0.25">
      <c r="A34" s="7">
        <v>32</v>
      </c>
      <c r="B34" s="14" t="s">
        <v>61</v>
      </c>
      <c r="C34" s="14"/>
      <c r="D34" s="14"/>
      <c r="E34" s="14"/>
      <c r="F34" s="14"/>
      <c r="G34" s="14">
        <v>16</v>
      </c>
      <c r="H34" s="14">
        <v>16</v>
      </c>
      <c r="I34" s="14"/>
    </row>
    <row r="35" spans="1:9" ht="17.25" thickBot="1" x14ac:dyDescent="0.25">
      <c r="A35" s="7">
        <v>33</v>
      </c>
      <c r="B35" s="13" t="s">
        <v>12</v>
      </c>
      <c r="C35" s="13"/>
      <c r="D35" s="13"/>
      <c r="E35" s="13"/>
      <c r="F35" s="13"/>
      <c r="G35" s="13">
        <v>16</v>
      </c>
      <c r="H35" s="13">
        <v>16</v>
      </c>
      <c r="I35" s="13"/>
    </row>
    <row r="36" spans="1:9" ht="17.25" thickBot="1" x14ac:dyDescent="0.25">
      <c r="A36" s="7">
        <v>34</v>
      </c>
      <c r="B36" s="14" t="s">
        <v>26</v>
      </c>
      <c r="C36" s="14"/>
      <c r="D36" s="14"/>
      <c r="E36" s="14"/>
      <c r="F36" s="14"/>
      <c r="G36" s="14">
        <v>16</v>
      </c>
      <c r="H36" s="14">
        <v>16</v>
      </c>
      <c r="I36" s="14"/>
    </row>
    <row r="37" spans="1:9" ht="17.25" thickBot="1" x14ac:dyDescent="0.25">
      <c r="A37" s="7">
        <v>35</v>
      </c>
      <c r="B37" s="13" t="s">
        <v>68</v>
      </c>
      <c r="C37" s="13">
        <v>39</v>
      </c>
      <c r="D37" s="13"/>
      <c r="E37" s="13"/>
      <c r="F37" s="13"/>
      <c r="G37" s="13"/>
      <c r="H37" s="13">
        <v>39</v>
      </c>
      <c r="I37" s="13"/>
    </row>
    <row r="38" spans="1:9" ht="17.25" thickBot="1" x14ac:dyDescent="0.25">
      <c r="A38" s="7">
        <v>36</v>
      </c>
      <c r="B38" s="14" t="s">
        <v>56</v>
      </c>
      <c r="C38" s="14">
        <v>39</v>
      </c>
      <c r="D38" s="14"/>
      <c r="E38" s="14"/>
      <c r="F38" s="14"/>
      <c r="G38" s="14"/>
      <c r="H38" s="14">
        <v>39</v>
      </c>
      <c r="I38" s="14"/>
    </row>
    <row r="39" spans="1:9" x14ac:dyDescent="0.2">
      <c r="G39" s="3" t="s">
        <v>62</v>
      </c>
      <c r="H39" s="3">
        <f>SUM(H3:H38)</f>
        <v>6161</v>
      </c>
    </row>
  </sheetData>
  <mergeCells count="1">
    <mergeCell ref="B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2026-08-17T07:06:51Z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764a65cd-160d-4b04-9086-1efcdf8839bd</vt:lpwstr>
  </property>
</Properties>
</file>