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113905E8-1F08-4F2E-AFEC-FB7252DE7F23}" xr6:coauthVersionLast="47" xr6:coauthVersionMax="47" xr10:uidLastSave="{00000000-0000-0000-0000-000000000000}"/>
  <bookViews>
    <workbookView xWindow="13410" yWindow="1725" windowWidth="24405" windowHeight="18720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" i="4"/>
  <c r="C36" i="4" l="1"/>
</calcChain>
</file>

<file path=xl/sharedStrings.xml><?xml version="1.0" encoding="utf-8"?>
<sst xmlns="http://schemas.openxmlformats.org/spreadsheetml/2006/main" count="77" uniqueCount="69">
  <si>
    <t>人员</t>
  </si>
  <si>
    <t>领取</t>
  </si>
  <si>
    <t>产出</t>
  </si>
  <si>
    <t>总人数</t>
  </si>
  <si>
    <t>行会账户A</t>
  </si>
  <si>
    <t>Dean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</si>
  <si>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</si>
  <si>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</si>
  <si>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</si>
  <si>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</si>
  <si>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</si>
  <si>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</si>
  <si>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</si>
  <si>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鼻嗅爱</t>
  </si>
  <si>
    <t>紫轩唐悦</t>
  </si>
  <si>
    <t>抚琴</t>
  </si>
  <si>
    <t>18人</t>
  </si>
  <si>
    <t>皇族酷</t>
  </si>
  <si>
    <t>申妙彤</t>
  </si>
  <si>
    <t>你好朋友</t>
  </si>
  <si>
    <t>清风揽小月</t>
  </si>
  <si>
    <t>幸福道人</t>
  </si>
  <si>
    <t>桃白白</t>
  </si>
  <si>
    <t>花无双</t>
  </si>
  <si>
    <t>虹之间</t>
  </si>
  <si>
    <t>胡萝卜</t>
  </si>
  <si>
    <t>蒙山一道</t>
  </si>
  <si>
    <t>舞动乾坤</t>
  </si>
  <si>
    <t>0908-0909 集体产出</t>
  </si>
  <si>
    <t>0908 - 1000 - 魔7通9</t>
  </si>
  <si>
    <t>行会账户A、 趴下、 皇族风、 虹之间、 # 惊鸿、 大钢棒、 紫轩唐悦、 皇族酷、 朱沅、 无悔、 狂暴D小妖、 清风揽小月、 鼻嗅爱、 风云无情、 舞动乾坤、 你好朋友、 抚琴、 蒙山一道</t>
  </si>
  <si>
    <t>540+155（绑）+总会分1700=2395</t>
  </si>
  <si>
    <t>133 (余1)</t>
  </si>
  <si>
    <t>0908 - 1600 - 魔7</t>
  </si>
  <si>
    <t>行会账户A、 # 虹之间、你好朋友、胡萝卜、大钢棒、无悔、kk123、法紫山、传说小胖、 抚琴、 皇族酷、 舞动乾坤、 紫轩唐悦、 趴下</t>
  </si>
  <si>
    <t>累计产出：21强化石315+绑石120 =435</t>
  </si>
  <si>
    <t>14人</t>
  </si>
  <si>
    <t>31(余1)</t>
  </si>
  <si>
    <t>0908 - 2100 - 魔6</t>
  </si>
  <si>
    <t>行会账户A、 无悔 、# 虹之间、 法紫山、桃白白、紫轩唐悦、子无恙、 花无双、 与市无争、 无妄绝尘、 皇族酷、 你好朋友、 皇族风、 舞动乾坤、 抚琴、 传说小胖、 大钢棒、 幸福道人、 Dean</t>
  </si>
  <si>
    <t>石头18块=270+绑石160=430</t>
  </si>
  <si>
    <t>19人</t>
  </si>
  <si>
    <t>22(余12)</t>
  </si>
  <si>
    <t>0909 - 1000 - 魔7通9</t>
  </si>
  <si>
    <t>行会账户A、 胡萝卜、 虹之间、 &amp;皇族酷、 趴下、 风云无情、 传说小胖、 申妙彤、 kk123、 # 蒙山一道、 无悔、 28、 舞动乾坤、 紫轩唐悦、 抚琴、 狂暴D小妖、 你好朋友、 大钢棒、 法紫山</t>
  </si>
  <si>
    <t>次逆魔135+绑定90+460总会分=685</t>
  </si>
  <si>
    <t>36(余1)</t>
  </si>
  <si>
    <t>0909 - 1600 - 魔7</t>
  </si>
  <si>
    <t>行会账户A、 #如意吉祥、 子无恙、 胡萝卜、 皇族酷、 舞动乾坤、 鼻嗅爱、 狂暴D小妖、 抚琴、 你好朋友、 传说小胖、 无悔、 大钢棒、 曙光来临</t>
  </si>
  <si>
    <t>26石头390通宝+绑石头、书165=555</t>
  </si>
  <si>
    <t>累计应发</t>
  </si>
  <si>
    <t>趴下</t>
  </si>
  <si>
    <t>惊鸿</t>
  </si>
  <si>
    <t>大钢棒</t>
  </si>
  <si>
    <t>朱沅</t>
  </si>
  <si>
    <t>狂暴D小妖</t>
  </si>
  <si>
    <t>kk123</t>
  </si>
  <si>
    <t>法紫山</t>
  </si>
  <si>
    <t>子无恙</t>
  </si>
  <si>
    <t>无妄绝尘</t>
  </si>
  <si>
    <t>如意吉祥</t>
  </si>
  <si>
    <t>曙光来临</t>
  </si>
  <si>
    <r>
      <t xml:space="preserve">0908-0909 </t>
    </r>
    <r>
      <rPr>
        <b/>
        <sz val="19.8"/>
        <color theme="1"/>
        <rFont val="微软雅黑"/>
        <family val="2"/>
        <charset val="134"/>
      </rPr>
      <t>集体产出</t>
    </r>
    <r>
      <rPr>
        <b/>
        <sz val="19.8"/>
        <color theme="1"/>
        <rFont val="Arial"/>
        <family val="2"/>
      </rPr>
      <t xml:space="preserve"> 4,500 ( </t>
    </r>
    <r>
      <rPr>
        <b/>
        <sz val="19.8"/>
        <color theme="1"/>
        <rFont val="微软雅黑"/>
        <family val="2"/>
        <charset val="134"/>
      </rPr>
      <t>实际分配</t>
    </r>
    <r>
      <rPr>
        <b/>
        <sz val="19.8"/>
        <color theme="1"/>
        <rFont val="Arial"/>
        <family val="2"/>
      </rPr>
      <t xml:space="preserve"> 4476 ) 
</t>
    </r>
    <r>
      <rPr>
        <b/>
        <sz val="19.8"/>
        <color theme="1"/>
        <rFont val="微软雅黑"/>
        <family val="2"/>
        <charset val="134"/>
      </rPr>
      <t>行会账户</t>
    </r>
    <r>
      <rPr>
        <b/>
        <sz val="19.8"/>
        <color theme="1"/>
        <rFont val="Arial"/>
        <family val="2"/>
      </rPr>
      <t xml:space="preserve">A </t>
    </r>
    <r>
      <rPr>
        <b/>
        <sz val="19.8"/>
        <color theme="1"/>
        <rFont val="微软雅黑"/>
        <family val="2"/>
        <charset val="134"/>
      </rPr>
      <t>往期结存</t>
    </r>
    <r>
      <rPr>
        <b/>
        <sz val="19.8"/>
        <color theme="1"/>
        <rFont val="Arial"/>
        <family val="2"/>
      </rPr>
      <t xml:space="preserve"> ( 3106 + 207 = 3,313 )</t>
    </r>
    <phoneticPr fontId="1" type="noConversion"/>
  </si>
  <si>
    <t>合计</t>
    <phoneticPr fontId="1" type="noConversion"/>
  </si>
  <si>
    <t>序号</t>
    <phoneticPr fontId="1" type="noConversion"/>
  </si>
  <si>
    <t>合计</t>
    <phoneticPr fontId="1" type="noConversion"/>
  </si>
  <si>
    <t>与市无争</t>
    <phoneticPr fontId="1" type="noConversion"/>
  </si>
  <si>
    <r>
      <t>39 (</t>
    </r>
    <r>
      <rPr>
        <sz val="15"/>
        <color theme="1"/>
        <rFont val="微软雅黑"/>
        <family val="2"/>
        <charset val="134"/>
      </rPr>
      <t>余</t>
    </r>
    <r>
      <rPr>
        <sz val="15"/>
        <color theme="1"/>
        <rFont val="Arial"/>
        <family val="2"/>
      </rPr>
      <t>9)</t>
    </r>
    <phoneticPr fontId="1" type="noConversion"/>
  </si>
  <si>
    <t xml:space="preserve"> (余24)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</si>
</sst>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4.3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b/>
      <sz val="19.8"/>
      <color theme="1"/>
      <name val="Arial"/>
      <family val="2"/>
    </font>
    <font>
      <b/>
      <sz val="19.8"/>
      <color theme="1"/>
      <name val="微软雅黑"/>
      <family val="2"/>
      <charset val="134"/>
    </font>
    <font>
      <b/>
      <sz val="16"/>
      <color theme="1"/>
      <name val="等线"/>
      <family val="3"/>
      <charset val="134"/>
      <scheme val="minor"/>
    </font>
    <font>
      <b/>
      <sz val="15"/>
      <color theme="1"/>
      <name val="微软雅黑"/>
      <family val="2"/>
      <charset val="134"/>
    </font>
    <font>
      <sz val="15"/>
      <color theme="1"/>
      <name val="微软雅黑"/>
      <family val="2"/>
      <charset val="134"/>
    </font>
    <font>
      <b/>
      <sz val="18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8"/>
  <sheetViews>
    <sheetView tabSelected="1" zoomScale="85" zoomScaleNormal="85" workbookViewId="0">
      <selection activeCell="A35" sqref="A35"/>
    </sheetView>
  </sheetViews>
  <sheetFormatPr defaultColWidth="26.5" defaultRowHeight="12.75" x14ac:dyDescent="0.2"/>
  <cols>
    <col min="1" max="1" width="26.5" style="1"/>
    <col min="2" max="2" width="51" style="1" customWidth="1"/>
    <col min="3" max="16384" width="26.5" style="1"/>
  </cols>
  <sheetData>
    <row r="1" spans="1:6" ht="18.75" thickBot="1" x14ac:dyDescent="0.25">
      <c r="A1" s="2" t="s">
        <v>28</v>
      </c>
      <c r="B1" s="3"/>
      <c r="C1" s="3"/>
      <c r="D1" s="3"/>
      <c r="E1" s="3"/>
      <c r="F1" s="3"/>
    </row>
    <row r="2" spans="1:6" ht="20.25" thickBot="1" x14ac:dyDescent="0.25">
      <c r="A2" s="4" t="s">
        <v>7</v>
      </c>
      <c r="B2" s="4" t="s">
        <v>0</v>
      </c>
      <c r="C2" s="4" t="s">
        <v>2</v>
      </c>
      <c r="D2" s="4" t="s">
        <v>8</v>
      </c>
      <c r="E2" s="4" t="s">
        <v>3</v>
      </c>
      <c r="F2" s="4" t="s">
        <v>9</v>
      </c>
    </row>
    <row r="3" spans="1:6" ht="94.5" thickBot="1" x14ac:dyDescent="0.25">
      <c r="A3" s="5" t="s">
        <v>29</v>
      </c>
      <c r="B3" s="5" t="s">
        <v>30</v>
      </c>
      <c r="C3" s="5" t="s">
        <v>31</v>
      </c>
      <c r="D3" s="5">
        <v>2395</v>
      </c>
      <c r="E3" s="5" t="s">
        <v>16</v>
      </c>
      <c r="F3" s="5" t="s">
        <v>32</v>
      </c>
    </row>
    <row r="4" spans="1:6" ht="75.75" thickBot="1" x14ac:dyDescent="0.25">
      <c r="A4" s="5" t="s">
        <v>33</v>
      </c>
      <c r="B4" s="5" t="s">
        <v>34</v>
      </c>
      <c r="C4" s="5" t="s">
        <v>35</v>
      </c>
      <c r="D4" s="5">
        <v>435</v>
      </c>
      <c r="E4" s="5" t="s">
        <v>36</v>
      </c>
      <c r="F4" s="5" t="s">
        <v>37</v>
      </c>
    </row>
    <row r="5" spans="1:6" ht="94.5" thickBot="1" x14ac:dyDescent="0.25">
      <c r="A5" s="5" t="s">
        <v>38</v>
      </c>
      <c r="B5" s="5" t="s">
        <v>39</v>
      </c>
      <c r="C5" s="5" t="s">
        <v>40</v>
      </c>
      <c r="D5" s="5">
        <v>430</v>
      </c>
      <c r="E5" s="5" t="s">
        <v>41</v>
      </c>
      <c r="F5" s="5" t="s">
        <v>42</v>
      </c>
    </row>
    <row r="6" spans="1:6" ht="94.5" thickBot="1" x14ac:dyDescent="0.25">
      <c r="A6" s="5" t="s">
        <v>43</v>
      </c>
      <c r="B6" s="5" t="s">
        <v>44</v>
      </c>
      <c r="C6" s="5" t="s">
        <v>45</v>
      </c>
      <c r="D6" s="5">
        <v>685</v>
      </c>
      <c r="E6" s="5" t="s">
        <v>41</v>
      </c>
      <c r="F6" s="5" t="s">
        <v>46</v>
      </c>
    </row>
    <row r="7" spans="1:6" ht="75.75" thickBot="1" x14ac:dyDescent="0.25">
      <c r="A7" s="5" t="s">
        <v>47</v>
      </c>
      <c r="B7" s="5" t="s">
        <v>48</v>
      </c>
      <c r="C7" s="5" t="s">
        <v>49</v>
      </c>
      <c r="D7" s="5">
        <v>555</v>
      </c>
      <c r="E7" s="5" t="s">
        <v>36</v>
      </c>
      <c r="F7" s="5" t="s">
        <v>67</v>
      </c>
    </row>
    <row r="8" spans="1:6" ht="36.75" customHeight="1" x14ac:dyDescent="0.2">
      <c r="C8" s="10" t="s">
        <v>65</v>
      </c>
      <c r="D8" s="10">
        <f>SUM(D3:D7)</f>
        <v>4500</v>
      </c>
      <c r="F8" s="10" t="s"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I36"/>
  <sheetViews>
    <sheetView zoomScale="85" zoomScaleNormal="85" workbookViewId="0">
      <selection activeCell="L37" sqref="L37"/>
    </sheetView>
  </sheetViews>
  <sheetFormatPr defaultColWidth="8.625" defaultRowHeight="57" customHeight="1" x14ac:dyDescent="0.2"/>
  <cols>
    <col min="1" max="1" width="8.625" style="6"/>
    <col min="2" max="2" width="18.125" style="6" customWidth="1"/>
    <col min="3" max="3" width="11.875" style="7" bestFit="1" customWidth="1"/>
    <col min="4" max="4" width="11.375" style="7" customWidth="1"/>
    <col min="5" max="5" width="16.625" style="7" customWidth="1"/>
    <col min="6" max="7" width="13.875" style="7" bestFit="1" customWidth="1"/>
    <col min="8" max="8" width="15.625" style="7" bestFit="1" customWidth="1"/>
    <col min="9" max="9" width="13.875" style="7" bestFit="1" customWidth="1"/>
    <col min="10" max="16384" width="8.625" style="7"/>
  </cols>
  <sheetData>
    <row r="1" spans="1:9" ht="54" customHeight="1" thickBot="1" x14ac:dyDescent="0.25">
      <c r="B1" s="12" t="s">
        <v>62</v>
      </c>
      <c r="C1" s="12"/>
      <c r="D1" s="12"/>
      <c r="E1" s="12"/>
      <c r="F1" s="12"/>
      <c r="G1" s="12"/>
      <c r="H1" s="12"/>
      <c r="I1" s="12"/>
    </row>
    <row r="2" spans="1:9" ht="39.950000000000003" customHeight="1" thickBot="1" x14ac:dyDescent="0.25">
      <c r="A2" s="9" t="s">
        <v>64</v>
      </c>
      <c r="B2" s="4" t="s">
        <v>0</v>
      </c>
      <c r="C2" s="4" t="s">
        <v>50</v>
      </c>
      <c r="D2" s="4" t="s">
        <v>1</v>
      </c>
      <c r="E2" s="4" t="s">
        <v>29</v>
      </c>
      <c r="F2" s="4" t="s">
        <v>33</v>
      </c>
      <c r="G2" s="4" t="s">
        <v>38</v>
      </c>
      <c r="H2" s="4" t="s">
        <v>43</v>
      </c>
      <c r="I2" s="4" t="s">
        <v>47</v>
      </c>
    </row>
    <row r="3" spans="1:9" ht="39.950000000000003" customHeight="1" thickBot="1" x14ac:dyDescent="0.25">
      <c r="A3" s="5">
        <v>1</v>
      </c>
      <c r="B3" s="5" t="s">
        <v>4</v>
      </c>
      <c r="C3" s="5">
        <f>E3+F3+G3+H3+I3</f>
        <v>261</v>
      </c>
      <c r="D3" s="5"/>
      <c r="E3" s="5">
        <v>133</v>
      </c>
      <c r="F3" s="5">
        <v>31</v>
      </c>
      <c r="G3" s="5">
        <v>22</v>
      </c>
      <c r="H3" s="5">
        <v>36</v>
      </c>
      <c r="I3" s="5">
        <v>39</v>
      </c>
    </row>
    <row r="4" spans="1:9" ht="39.950000000000003" customHeight="1" thickBot="1" x14ac:dyDescent="0.25">
      <c r="A4" s="5">
        <v>2</v>
      </c>
      <c r="B4" s="5" t="s">
        <v>51</v>
      </c>
      <c r="C4" s="5">
        <f t="shared" ref="C4:C35" si="0">E4+F4+G4+H4+I4</f>
        <v>200</v>
      </c>
      <c r="D4" s="5"/>
      <c r="E4" s="5">
        <v>133</v>
      </c>
      <c r="F4" s="5">
        <v>31</v>
      </c>
      <c r="G4" s="5"/>
      <c r="H4" s="5">
        <v>36</v>
      </c>
      <c r="I4" s="5"/>
    </row>
    <row r="5" spans="1:9" ht="39.950000000000003" customHeight="1" thickBot="1" x14ac:dyDescent="0.25">
      <c r="A5" s="5">
        <v>3</v>
      </c>
      <c r="B5" s="5" t="s">
        <v>12</v>
      </c>
      <c r="C5" s="5">
        <f t="shared" si="0"/>
        <v>155</v>
      </c>
      <c r="D5" s="5"/>
      <c r="E5" s="5">
        <v>133</v>
      </c>
      <c r="F5" s="5"/>
      <c r="G5" s="5">
        <v>22</v>
      </c>
      <c r="H5" s="5"/>
      <c r="I5" s="5"/>
    </row>
    <row r="6" spans="1:9" ht="39.950000000000003" customHeight="1" thickBot="1" x14ac:dyDescent="0.25">
      <c r="A6" s="5">
        <v>4</v>
      </c>
      <c r="B6" s="5" t="s">
        <v>24</v>
      </c>
      <c r="C6" s="5">
        <f t="shared" si="0"/>
        <v>222</v>
      </c>
      <c r="D6" s="5"/>
      <c r="E6" s="5">
        <v>133</v>
      </c>
      <c r="F6" s="5">
        <v>31</v>
      </c>
      <c r="G6" s="5">
        <v>22</v>
      </c>
      <c r="H6" s="5">
        <v>36</v>
      </c>
      <c r="I6" s="5"/>
    </row>
    <row r="7" spans="1:9" ht="39.950000000000003" customHeight="1" thickBot="1" x14ac:dyDescent="0.25">
      <c r="A7" s="5">
        <v>5</v>
      </c>
      <c r="B7" s="5" t="s">
        <v>52</v>
      </c>
      <c r="C7" s="5">
        <f t="shared" si="0"/>
        <v>133</v>
      </c>
      <c r="D7" s="5"/>
      <c r="E7" s="5">
        <v>133</v>
      </c>
      <c r="F7" s="5"/>
      <c r="G7" s="5"/>
      <c r="H7" s="5"/>
      <c r="I7" s="5"/>
    </row>
    <row r="8" spans="1:9" ht="39.950000000000003" customHeight="1" thickBot="1" x14ac:dyDescent="0.25">
      <c r="A8" s="5">
        <v>6</v>
      </c>
      <c r="B8" s="5" t="s">
        <v>53</v>
      </c>
      <c r="C8" s="5">
        <f t="shared" si="0"/>
        <v>261</v>
      </c>
      <c r="D8" s="5"/>
      <c r="E8" s="5">
        <v>133</v>
      </c>
      <c r="F8" s="5">
        <v>31</v>
      </c>
      <c r="G8" s="5">
        <v>22</v>
      </c>
      <c r="H8" s="5">
        <v>36</v>
      </c>
      <c r="I8" s="5">
        <v>39</v>
      </c>
    </row>
    <row r="9" spans="1:9" ht="39.950000000000003" customHeight="1" thickBot="1" x14ac:dyDescent="0.25">
      <c r="A9" s="5">
        <v>7</v>
      </c>
      <c r="B9" s="5" t="s">
        <v>14</v>
      </c>
      <c r="C9" s="5">
        <f t="shared" si="0"/>
        <v>222</v>
      </c>
      <c r="D9" s="5"/>
      <c r="E9" s="5">
        <v>133</v>
      </c>
      <c r="F9" s="5">
        <v>31</v>
      </c>
      <c r="G9" s="5">
        <v>22</v>
      </c>
      <c r="H9" s="5">
        <v>36</v>
      </c>
      <c r="I9" s="5"/>
    </row>
    <row r="10" spans="1:9" ht="39.950000000000003" customHeight="1" thickBot="1" x14ac:dyDescent="0.25">
      <c r="A10" s="5">
        <v>8</v>
      </c>
      <c r="B10" s="5" t="s">
        <v>17</v>
      </c>
      <c r="C10" s="5">
        <f t="shared" si="0"/>
        <v>261</v>
      </c>
      <c r="D10" s="5"/>
      <c r="E10" s="5">
        <v>133</v>
      </c>
      <c r="F10" s="5">
        <v>31</v>
      </c>
      <c r="G10" s="5">
        <v>22</v>
      </c>
      <c r="H10" s="5">
        <v>36</v>
      </c>
      <c r="I10" s="5">
        <v>39</v>
      </c>
    </row>
    <row r="11" spans="1:9" ht="39.950000000000003" customHeight="1" thickBot="1" x14ac:dyDescent="0.25">
      <c r="A11" s="5">
        <v>9</v>
      </c>
      <c r="B11" s="5" t="s">
        <v>54</v>
      </c>
      <c r="C11" s="5">
        <f t="shared" si="0"/>
        <v>133</v>
      </c>
      <c r="D11" s="5"/>
      <c r="E11" s="5">
        <v>133</v>
      </c>
      <c r="F11" s="5"/>
      <c r="G11" s="5"/>
      <c r="H11" s="5"/>
      <c r="I11" s="5"/>
    </row>
    <row r="12" spans="1:9" ht="39.950000000000003" customHeight="1" thickBot="1" x14ac:dyDescent="0.25">
      <c r="A12" s="5">
        <v>10</v>
      </c>
      <c r="B12" s="5" t="s">
        <v>11</v>
      </c>
      <c r="C12" s="5">
        <f t="shared" si="0"/>
        <v>261</v>
      </c>
      <c r="D12" s="5"/>
      <c r="E12" s="5">
        <v>133</v>
      </c>
      <c r="F12" s="5">
        <v>31</v>
      </c>
      <c r="G12" s="5">
        <v>22</v>
      </c>
      <c r="H12" s="5">
        <v>36</v>
      </c>
      <c r="I12" s="5">
        <v>39</v>
      </c>
    </row>
    <row r="13" spans="1:9" ht="39.950000000000003" customHeight="1" thickBot="1" x14ac:dyDescent="0.25">
      <c r="A13" s="5">
        <v>11</v>
      </c>
      <c r="B13" s="5" t="s">
        <v>55</v>
      </c>
      <c r="C13" s="5">
        <f t="shared" si="0"/>
        <v>208</v>
      </c>
      <c r="D13" s="5"/>
      <c r="E13" s="5">
        <v>133</v>
      </c>
      <c r="F13" s="5"/>
      <c r="G13" s="5"/>
      <c r="H13" s="5">
        <v>36</v>
      </c>
      <c r="I13" s="5">
        <v>39</v>
      </c>
    </row>
    <row r="14" spans="1:9" ht="39.950000000000003" customHeight="1" thickBot="1" x14ac:dyDescent="0.25">
      <c r="A14" s="5">
        <v>12</v>
      </c>
      <c r="B14" s="5" t="s">
        <v>20</v>
      </c>
      <c r="C14" s="5">
        <f t="shared" si="0"/>
        <v>133</v>
      </c>
      <c r="D14" s="5"/>
      <c r="E14" s="5">
        <v>133</v>
      </c>
      <c r="F14" s="5"/>
      <c r="G14" s="5"/>
      <c r="H14" s="5"/>
      <c r="I14" s="5"/>
    </row>
    <row r="15" spans="1:9" ht="39.950000000000003" customHeight="1" thickBot="1" x14ac:dyDescent="0.25">
      <c r="A15" s="5">
        <v>13</v>
      </c>
      <c r="B15" s="5" t="s">
        <v>13</v>
      </c>
      <c r="C15" s="5">
        <f t="shared" si="0"/>
        <v>172</v>
      </c>
      <c r="D15" s="5"/>
      <c r="E15" s="5">
        <v>133</v>
      </c>
      <c r="F15" s="5"/>
      <c r="G15" s="5"/>
      <c r="H15" s="5"/>
      <c r="I15" s="5">
        <v>39</v>
      </c>
    </row>
    <row r="16" spans="1:9" ht="39.950000000000003" customHeight="1" thickBot="1" x14ac:dyDescent="0.25">
      <c r="A16" s="5">
        <v>14</v>
      </c>
      <c r="B16" s="5" t="s">
        <v>10</v>
      </c>
      <c r="C16" s="5">
        <f t="shared" si="0"/>
        <v>169</v>
      </c>
      <c r="D16" s="5"/>
      <c r="E16" s="5">
        <v>133</v>
      </c>
      <c r="F16" s="5"/>
      <c r="G16" s="5"/>
      <c r="H16" s="5">
        <v>36</v>
      </c>
      <c r="I16" s="5"/>
    </row>
    <row r="17" spans="1:9" ht="39.950000000000003" customHeight="1" thickBot="1" x14ac:dyDescent="0.25">
      <c r="A17" s="5">
        <v>15</v>
      </c>
      <c r="B17" s="5" t="s">
        <v>27</v>
      </c>
      <c r="C17" s="5">
        <f t="shared" si="0"/>
        <v>261</v>
      </c>
      <c r="D17" s="5"/>
      <c r="E17" s="5">
        <v>133</v>
      </c>
      <c r="F17" s="5">
        <v>31</v>
      </c>
      <c r="G17" s="5">
        <v>22</v>
      </c>
      <c r="H17" s="5">
        <v>36</v>
      </c>
      <c r="I17" s="5">
        <v>39</v>
      </c>
    </row>
    <row r="18" spans="1:9" ht="39.950000000000003" customHeight="1" thickBot="1" x14ac:dyDescent="0.25">
      <c r="A18" s="5">
        <v>16</v>
      </c>
      <c r="B18" s="5" t="s">
        <v>19</v>
      </c>
      <c r="C18" s="5">
        <f t="shared" si="0"/>
        <v>261</v>
      </c>
      <c r="D18" s="5"/>
      <c r="E18" s="5">
        <v>133</v>
      </c>
      <c r="F18" s="5">
        <v>31</v>
      </c>
      <c r="G18" s="5">
        <v>22</v>
      </c>
      <c r="H18" s="5">
        <v>36</v>
      </c>
      <c r="I18" s="5">
        <v>39</v>
      </c>
    </row>
    <row r="19" spans="1:9" ht="39.950000000000003" customHeight="1" thickBot="1" x14ac:dyDescent="0.25">
      <c r="A19" s="5">
        <v>17</v>
      </c>
      <c r="B19" s="5" t="s">
        <v>15</v>
      </c>
      <c r="C19" s="5">
        <f t="shared" si="0"/>
        <v>261</v>
      </c>
      <c r="D19" s="5"/>
      <c r="E19" s="5">
        <v>133</v>
      </c>
      <c r="F19" s="5">
        <v>31</v>
      </c>
      <c r="G19" s="5">
        <v>22</v>
      </c>
      <c r="H19" s="5">
        <v>36</v>
      </c>
      <c r="I19" s="5">
        <v>39</v>
      </c>
    </row>
    <row r="20" spans="1:9" ht="39.950000000000003" customHeight="1" thickBot="1" x14ac:dyDescent="0.25">
      <c r="A20" s="5">
        <v>18</v>
      </c>
      <c r="B20" s="5" t="s">
        <v>26</v>
      </c>
      <c r="C20" s="5">
        <f t="shared" si="0"/>
        <v>169</v>
      </c>
      <c r="D20" s="5"/>
      <c r="E20" s="5">
        <v>133</v>
      </c>
      <c r="F20" s="5"/>
      <c r="G20" s="5"/>
      <c r="H20" s="5">
        <v>36</v>
      </c>
      <c r="I20" s="5"/>
    </row>
    <row r="21" spans="1:9" ht="39.950000000000003" customHeight="1" thickBot="1" x14ac:dyDescent="0.25">
      <c r="A21" s="5">
        <v>19</v>
      </c>
      <c r="B21" s="5" t="s">
        <v>25</v>
      </c>
      <c r="C21" s="5">
        <f t="shared" si="0"/>
        <v>106</v>
      </c>
      <c r="D21" s="5"/>
      <c r="E21" s="5"/>
      <c r="F21" s="5">
        <v>31</v>
      </c>
      <c r="G21" s="5"/>
      <c r="H21" s="5">
        <v>36</v>
      </c>
      <c r="I21" s="5">
        <v>39</v>
      </c>
    </row>
    <row r="22" spans="1:9" ht="39.950000000000003" customHeight="1" thickBot="1" x14ac:dyDescent="0.25">
      <c r="A22" s="5">
        <v>20</v>
      </c>
      <c r="B22" s="5" t="s">
        <v>56</v>
      </c>
      <c r="C22" s="5">
        <f t="shared" si="0"/>
        <v>67</v>
      </c>
      <c r="D22" s="5"/>
      <c r="E22" s="5"/>
      <c r="F22" s="5">
        <v>31</v>
      </c>
      <c r="G22" s="5"/>
      <c r="H22" s="5">
        <v>36</v>
      </c>
      <c r="I22" s="5"/>
    </row>
    <row r="23" spans="1:9" ht="39.950000000000003" customHeight="1" thickBot="1" x14ac:dyDescent="0.25">
      <c r="A23" s="5">
        <v>21</v>
      </c>
      <c r="B23" s="5" t="s">
        <v>57</v>
      </c>
      <c r="C23" s="5">
        <f t="shared" si="0"/>
        <v>89</v>
      </c>
      <c r="D23" s="5"/>
      <c r="E23" s="5"/>
      <c r="F23" s="5">
        <v>31</v>
      </c>
      <c r="G23" s="5">
        <v>22</v>
      </c>
      <c r="H23" s="5">
        <v>36</v>
      </c>
      <c r="I23" s="5"/>
    </row>
    <row r="24" spans="1:9" ht="39.950000000000003" customHeight="1" thickBot="1" x14ac:dyDescent="0.25">
      <c r="A24" s="5">
        <v>22</v>
      </c>
      <c r="B24" s="5" t="s">
        <v>6</v>
      </c>
      <c r="C24" s="5">
        <f t="shared" si="0"/>
        <v>128</v>
      </c>
      <c r="D24" s="5"/>
      <c r="E24" s="5"/>
      <c r="F24" s="5">
        <v>31</v>
      </c>
      <c r="G24" s="5">
        <v>22</v>
      </c>
      <c r="H24" s="5">
        <v>36</v>
      </c>
      <c r="I24" s="5">
        <v>39</v>
      </c>
    </row>
    <row r="25" spans="1:9" ht="39.950000000000003" customHeight="1" thickBot="1" x14ac:dyDescent="0.25">
      <c r="A25" s="5">
        <v>23</v>
      </c>
      <c r="B25" s="5" t="s">
        <v>22</v>
      </c>
      <c r="C25" s="5">
        <f t="shared" si="0"/>
        <v>22</v>
      </c>
      <c r="D25" s="5"/>
      <c r="E25" s="5"/>
      <c r="F25" s="5"/>
      <c r="G25" s="5">
        <v>22</v>
      </c>
      <c r="H25" s="5"/>
      <c r="I25" s="5"/>
    </row>
    <row r="26" spans="1:9" ht="39.950000000000003" customHeight="1" thickBot="1" x14ac:dyDescent="0.25">
      <c r="A26" s="5">
        <v>24</v>
      </c>
      <c r="B26" s="5" t="s">
        <v>58</v>
      </c>
      <c r="C26" s="5">
        <f t="shared" si="0"/>
        <v>61</v>
      </c>
      <c r="D26" s="5"/>
      <c r="E26" s="5"/>
      <c r="F26" s="5"/>
      <c r="G26" s="5">
        <v>22</v>
      </c>
      <c r="H26" s="5"/>
      <c r="I26" s="5">
        <v>39</v>
      </c>
    </row>
    <row r="27" spans="1:9" ht="39.950000000000003" customHeight="1" thickBot="1" x14ac:dyDescent="0.25">
      <c r="A27" s="5">
        <v>25</v>
      </c>
      <c r="B27" s="5" t="s">
        <v>23</v>
      </c>
      <c r="C27" s="5">
        <f t="shared" si="0"/>
        <v>22</v>
      </c>
      <c r="D27" s="5"/>
      <c r="E27" s="5"/>
      <c r="F27" s="5"/>
      <c r="G27" s="5">
        <v>22</v>
      </c>
      <c r="H27" s="5"/>
      <c r="I27" s="5"/>
    </row>
    <row r="28" spans="1:9" ht="39.950000000000003" customHeight="1" thickBot="1" x14ac:dyDescent="0.25">
      <c r="A28" s="5">
        <v>26</v>
      </c>
      <c r="B28" s="11" t="s">
        <v>66</v>
      </c>
      <c r="C28" s="5">
        <f t="shared" si="0"/>
        <v>22</v>
      </c>
      <c r="D28" s="5"/>
      <c r="E28" s="5"/>
      <c r="F28" s="5"/>
      <c r="G28" s="5">
        <v>22</v>
      </c>
      <c r="H28" s="5"/>
      <c r="I28" s="5"/>
    </row>
    <row r="29" spans="1:9" ht="39.950000000000003" customHeight="1" thickBot="1" x14ac:dyDescent="0.25">
      <c r="A29" s="5">
        <v>27</v>
      </c>
      <c r="B29" s="5" t="s">
        <v>59</v>
      </c>
      <c r="C29" s="5">
        <f t="shared" si="0"/>
        <v>22</v>
      </c>
      <c r="D29" s="5"/>
      <c r="E29" s="5"/>
      <c r="F29" s="5"/>
      <c r="G29" s="5">
        <v>22</v>
      </c>
      <c r="H29" s="5"/>
      <c r="I29" s="5"/>
    </row>
    <row r="30" spans="1:9" ht="39.950000000000003" customHeight="1" thickBot="1" x14ac:dyDescent="0.25">
      <c r="A30" s="5">
        <v>28</v>
      </c>
      <c r="B30" s="5" t="s">
        <v>21</v>
      </c>
      <c r="C30" s="5">
        <f t="shared" si="0"/>
        <v>22</v>
      </c>
      <c r="D30" s="5"/>
      <c r="E30" s="5"/>
      <c r="F30" s="5"/>
      <c r="G30" s="5">
        <v>22</v>
      </c>
      <c r="H30" s="5"/>
      <c r="I30" s="5"/>
    </row>
    <row r="31" spans="1:9" ht="39.950000000000003" customHeight="1" thickBot="1" x14ac:dyDescent="0.25">
      <c r="A31" s="5">
        <v>29</v>
      </c>
      <c r="B31" s="5" t="s">
        <v>5</v>
      </c>
      <c r="C31" s="5">
        <f t="shared" si="0"/>
        <v>22</v>
      </c>
      <c r="D31" s="5"/>
      <c r="E31" s="5"/>
      <c r="F31" s="5"/>
      <c r="G31" s="5">
        <v>22</v>
      </c>
      <c r="H31" s="5"/>
      <c r="I31" s="5"/>
    </row>
    <row r="32" spans="1:9" ht="39.950000000000003" customHeight="1" thickBot="1" x14ac:dyDescent="0.25">
      <c r="A32" s="5">
        <v>30</v>
      </c>
      <c r="B32" s="5" t="s">
        <v>18</v>
      </c>
      <c r="C32" s="5">
        <f t="shared" si="0"/>
        <v>36</v>
      </c>
      <c r="D32" s="5"/>
      <c r="E32" s="5"/>
      <c r="F32" s="5"/>
      <c r="G32" s="5"/>
      <c r="H32" s="5">
        <v>36</v>
      </c>
      <c r="I32" s="5"/>
    </row>
    <row r="33" spans="1:9" ht="39.950000000000003" customHeight="1" thickBot="1" x14ac:dyDescent="0.25">
      <c r="A33" s="5">
        <v>31</v>
      </c>
      <c r="B33" s="5">
        <v>28</v>
      </c>
      <c r="C33" s="5">
        <f t="shared" si="0"/>
        <v>36</v>
      </c>
      <c r="D33" s="5"/>
      <c r="E33" s="5"/>
      <c r="F33" s="5"/>
      <c r="G33" s="5"/>
      <c r="H33" s="5">
        <v>36</v>
      </c>
      <c r="I33" s="5"/>
    </row>
    <row r="34" spans="1:9" ht="39.950000000000003" customHeight="1" thickBot="1" x14ac:dyDescent="0.25">
      <c r="A34" s="5">
        <v>32</v>
      </c>
      <c r="B34" s="5" t="s">
        <v>60</v>
      </c>
      <c r="C34" s="5">
        <f t="shared" si="0"/>
        <v>39</v>
      </c>
      <c r="D34" s="5"/>
      <c r="E34" s="5"/>
      <c r="F34" s="5"/>
      <c r="G34" s="5"/>
      <c r="H34" s="5"/>
      <c r="I34" s="5">
        <v>39</v>
      </c>
    </row>
    <row r="35" spans="1:9" ht="39.950000000000003" customHeight="1" thickBot="1" x14ac:dyDescent="0.25">
      <c r="A35" s="5">
        <v>33</v>
      </c>
      <c r="B35" s="5" t="s">
        <v>61</v>
      </c>
      <c r="C35" s="5">
        <f t="shared" si="0"/>
        <v>39</v>
      </c>
      <c r="D35" s="5"/>
      <c r="E35" s="5"/>
      <c r="F35" s="5"/>
      <c r="G35" s="5"/>
      <c r="H35" s="5"/>
      <c r="I35" s="5">
        <v>39</v>
      </c>
    </row>
    <row r="36" spans="1:9" ht="39.75" customHeight="1" x14ac:dyDescent="0.2">
      <c r="B36" s="8" t="s">
        <v>63</v>
      </c>
      <c r="C36" s="8">
        <f>SUM(C3:C35)</f>
        <v>4476</v>
      </c>
    </row>
  </sheetData>
  <mergeCells count="1">
    <mergeCell ref="B1:I1"/>
  </mergeCells>
  <phoneticPr fontId="1" type="noConversion"/>
  <conditionalFormatting sqref="B1:B1048576">
    <cfRule type="duplicateValues" dxfId="1" priority="1"/>
  </conditionalFormatting>
  <conditionalFormatting sqref="B36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2026-09-10T03:08:32Z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